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Guide" sheetId="1" state="visible" r:id="rId1"/>
    <sheet xmlns:r="http://schemas.openxmlformats.org/officeDocument/2006/relationships" name="Ticket Data" sheetId="2" state="visible" r:id="rId2"/>
    <sheet xmlns:r="http://schemas.openxmlformats.org/officeDocument/2006/relationships" name="Team Reference" sheetId="3" state="visible" r:id="rId3"/>
    <sheet xmlns:r="http://schemas.openxmlformats.org/officeDocument/2006/relationships" name="Operations Summary" sheetId="4" state="visible" r:id="rId4"/>
  </sheets>
  <definedNames>
    <definedName name="_xlnm._FilterDatabase" localSheetId="1" hidden="1">'Ticket Data'!$A$1:$J$101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Team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'Operations Summary'!E2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'Operations Summary'!$D$3:$D$5</f>
            </numRef>
          </cat>
          <val>
            <numRef>
              <f>'Operations Summary'!$E$3:$E$5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Priority</a:t>
            </a:r>
          </a:p>
        </rich>
      </tx>
    </title>
    <plotArea>
      <pieChart>
        <varyColors val="1"/>
        <ser>
          <idx val="0"/>
          <order val="0"/>
          <tx>
            <strRef>
              <f>'Operations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'Operations Summary'!$G$3:$G$6</f>
            </numRef>
          </cat>
          <val>
            <numRef>
              <f>'Operations Summary'!$H$3:$H$6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Performance</a:t>
            </a:r>
          </a:p>
        </rich>
      </tx>
    </title>
    <plotArea>
      <pieChart>
        <varyColors val="1"/>
        <ser>
          <idx val="0"/>
          <order val="0"/>
          <tx>
            <strRef>
              <f>'Operations Summary'!K2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'Operations Summary'!$J$3:$J$4</f>
            </numRef>
          </cat>
          <val>
            <numRef>
              <f>'Operations Summary'!$K$3:$K$4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icketData" displayName="TicketData" ref="A1:J101" headerRowCount="1">
  <autoFilter ref="A1:J101"/>
  <tableColumns count="10">
    <tableColumn id="1" name="Ticket ID"/>
    <tableColumn id="2" name="Date"/>
    <tableColumn id="3" name="Department"/>
    <tableColumn id="4" name="Issue Type"/>
    <tableColumn id="5" name="Priority"/>
    <tableColumn id="6" name="Status"/>
    <tableColumn id="7" name="Assigned Team"/>
    <tableColumn id="8" name="Resolution Hours"/>
    <tableColumn id="9" name="SLA Hours"/>
    <tableColumn id="10" name="SLA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IT Operations &amp; Service Desk Analytics</t>
        </is>
      </c>
    </row>
    <row r="3">
      <c r="A3" s="4" t="inlineStr">
        <is>
          <t>Purpose: Analyze a fictional IT/service desk ticket dataset and monitor operational performance.</t>
        </is>
      </c>
    </row>
    <row r="4">
      <c r="A4" s="4" t="inlineStr">
        <is>
          <t>Skills demonstrated: Excel, data cleaning, formulas, ticket analysis, SLA monitoring, reporting, Pivot-style summaries, and dashboards.</t>
        </is>
      </c>
    </row>
    <row r="5">
      <c r="A5" s="4" t="inlineStr">
        <is>
          <t>Key workflow: Review ticket data → clean/validate → monitor SLA → analyze workload → report trends.</t>
        </is>
      </c>
    </row>
    <row r="6">
      <c r="A6" s="4" t="inlineStr">
        <is>
          <t>Important formulas used: IF, COUNTIF, AVERAGEIF.</t>
        </is>
      </c>
    </row>
    <row r="7">
      <c r="A7" s="4" t="inlineStr">
        <is>
          <t>Resume title: IT Operations &amp; Service Desk Analytics</t>
        </is>
      </c>
    </row>
    <row r="8">
      <c r="A8" s="4" t="inlineStr">
        <is>
          <t>Resume bullet 1: Analyzed IT support tickets using Excel to monitor incident status, priority, resolution time, and SLA performance.</t>
        </is>
      </c>
    </row>
    <row r="9">
      <c r="A9" s="4" t="inlineStr">
        <is>
          <t>Resume bullet 2: Built operational reports and dashboards to identify ticket trends, workload distribution, and SLA breaches.</t>
        </is>
      </c>
    </row>
    <row r="10">
      <c r="A10" s="4" t="inlineStr">
        <is>
          <t>Note: Dataset is fictional and created for portfolio/learning purposes.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  <col width="16" customWidth="1" min="10" max="10"/>
  </cols>
  <sheetData>
    <row r="1">
      <c r="A1" s="5" t="inlineStr">
        <is>
          <t>Ticket ID</t>
        </is>
      </c>
      <c r="B1" s="5" t="inlineStr">
        <is>
          <t>Date</t>
        </is>
      </c>
      <c r="C1" s="5" t="inlineStr">
        <is>
          <t>Department</t>
        </is>
      </c>
      <c r="D1" s="5" t="inlineStr">
        <is>
          <t>Issue Type</t>
        </is>
      </c>
      <c r="E1" s="5" t="inlineStr">
        <is>
          <t>Priority</t>
        </is>
      </c>
      <c r="F1" s="5" t="inlineStr">
        <is>
          <t>Status</t>
        </is>
      </c>
      <c r="G1" s="5" t="inlineStr">
        <is>
          <t>Assigned Team</t>
        </is>
      </c>
      <c r="H1" s="5" t="inlineStr">
        <is>
          <t>Resolution Hours</t>
        </is>
      </c>
      <c r="I1" s="5" t="inlineStr">
        <is>
          <t>SLA Hours</t>
        </is>
      </c>
      <c r="J1" s="5" t="inlineStr">
        <is>
          <t>SLA Status</t>
        </is>
      </c>
    </row>
    <row r="2">
      <c r="A2" t="inlineStr">
        <is>
          <t>T001</t>
        </is>
      </c>
      <c r="B2" s="6" t="n">
        <v>46242</v>
      </c>
      <c r="C2" t="inlineStr">
        <is>
          <t>IT</t>
        </is>
      </c>
      <c r="D2" t="inlineStr">
        <is>
          <t>Network Issue</t>
        </is>
      </c>
      <c r="E2" t="inlineStr">
        <is>
          <t>High</t>
        </is>
      </c>
      <c r="F2" t="inlineStr">
        <is>
          <t>Open</t>
        </is>
      </c>
      <c r="G2" t="inlineStr">
        <is>
          <t>Network</t>
        </is>
      </c>
      <c r="H2" t="n">
        <v>7</v>
      </c>
      <c r="I2" t="n">
        <v>8</v>
      </c>
      <c r="J2">
        <f>IF(H2&lt;=I2,"Within SLA","SLA Breached")</f>
        <v/>
      </c>
    </row>
    <row r="3">
      <c r="A3" t="inlineStr">
        <is>
          <t>T002</t>
        </is>
      </c>
      <c r="B3" s="6" t="n">
        <v>46237</v>
      </c>
      <c r="C3" t="inlineStr">
        <is>
          <t>IT</t>
        </is>
      </c>
      <c r="D3" t="inlineStr">
        <is>
          <t>Connectivity Issue</t>
        </is>
      </c>
      <c r="E3" t="inlineStr">
        <is>
          <t>High</t>
        </is>
      </c>
      <c r="F3" t="inlineStr">
        <is>
          <t>Open</t>
        </is>
      </c>
      <c r="G3" t="inlineStr">
        <is>
          <t>Network</t>
        </is>
      </c>
      <c r="H3" t="n">
        <v>17</v>
      </c>
      <c r="I3" t="n">
        <v>8</v>
      </c>
      <c r="J3">
        <f>IF(H3&lt;=I3,"Within SLA","SLA Breached")</f>
        <v/>
      </c>
    </row>
    <row r="4">
      <c r="A4" t="inlineStr">
        <is>
          <t>T003</t>
        </is>
      </c>
      <c r="B4" s="6" t="n">
        <v>46251</v>
      </c>
      <c r="C4" t="inlineStr">
        <is>
          <t>Security</t>
        </is>
      </c>
      <c r="D4" t="inlineStr">
        <is>
          <t>Phishing Alert</t>
        </is>
      </c>
      <c r="E4" t="inlineStr">
        <is>
          <t>Critical</t>
        </is>
      </c>
      <c r="F4" t="inlineStr">
        <is>
          <t>Resolved</t>
        </is>
      </c>
      <c r="G4" t="inlineStr">
        <is>
          <t>SOC</t>
        </is>
      </c>
      <c r="H4" t="n">
        <v>8</v>
      </c>
      <c r="I4" t="n">
        <v>4</v>
      </c>
      <c r="J4">
        <f>IF(H4&lt;=I4,"Within SLA","SLA Breached")</f>
        <v/>
      </c>
    </row>
    <row r="5">
      <c r="A5" t="inlineStr">
        <is>
          <t>T004</t>
        </is>
      </c>
      <c r="B5" s="6" t="n">
        <v>46248</v>
      </c>
      <c r="C5" t="inlineStr">
        <is>
          <t>IT</t>
        </is>
      </c>
      <c r="D5" t="inlineStr">
        <is>
          <t>Network Issue</t>
        </is>
      </c>
      <c r="E5" t="inlineStr">
        <is>
          <t>High</t>
        </is>
      </c>
      <c r="F5" t="inlineStr">
        <is>
          <t>Resolved</t>
        </is>
      </c>
      <c r="G5" t="inlineStr">
        <is>
          <t>Network</t>
        </is>
      </c>
      <c r="H5" t="n">
        <v>18</v>
      </c>
      <c r="I5" t="n">
        <v>8</v>
      </c>
      <c r="J5">
        <f>IF(H5&lt;=I5,"Within SLA","SLA Breached")</f>
        <v/>
      </c>
    </row>
    <row r="6">
      <c r="A6" t="inlineStr">
        <is>
          <t>T005</t>
        </is>
      </c>
      <c r="B6" s="6" t="n">
        <v>46259</v>
      </c>
      <c r="C6" t="inlineStr">
        <is>
          <t>Security</t>
        </is>
      </c>
      <c r="D6" t="inlineStr">
        <is>
          <t>Suspicious Login</t>
        </is>
      </c>
      <c r="E6" t="inlineStr">
        <is>
          <t>Medium</t>
        </is>
      </c>
      <c r="F6" t="inlineStr">
        <is>
          <t>Open</t>
        </is>
      </c>
      <c r="G6" t="inlineStr">
        <is>
          <t>SOC</t>
        </is>
      </c>
      <c r="H6" t="n">
        <v>0</v>
      </c>
      <c r="I6" t="n">
        <v>16</v>
      </c>
      <c r="J6">
        <f>IF(H6&lt;=I6,"Within SLA","SLA Breached")</f>
        <v/>
      </c>
    </row>
    <row r="7">
      <c r="A7" t="inlineStr">
        <is>
          <t>T006</t>
        </is>
      </c>
      <c r="B7" s="6" t="n">
        <v>46265</v>
      </c>
      <c r="C7" t="inlineStr">
        <is>
          <t>IT</t>
        </is>
      </c>
      <c r="D7" t="inlineStr">
        <is>
          <t>VPN Issue</t>
        </is>
      </c>
      <c r="E7" t="inlineStr">
        <is>
          <t>Medium</t>
        </is>
      </c>
      <c r="F7" t="inlineStr">
        <is>
          <t>Resolved</t>
        </is>
      </c>
      <c r="G7" t="inlineStr">
        <is>
          <t>Network</t>
        </is>
      </c>
      <c r="H7" t="n">
        <v>7</v>
      </c>
      <c r="I7" t="n">
        <v>16</v>
      </c>
      <c r="J7">
        <f>IF(H7&lt;=I7,"Within SLA","SLA Breached")</f>
        <v/>
      </c>
    </row>
    <row r="8">
      <c r="A8" t="inlineStr">
        <is>
          <t>T007</t>
        </is>
      </c>
      <c r="B8" s="6" t="n">
        <v>46246</v>
      </c>
      <c r="C8" t="inlineStr">
        <is>
          <t>IT</t>
        </is>
      </c>
      <c r="D8" t="inlineStr">
        <is>
          <t>Access Request</t>
        </is>
      </c>
      <c r="E8" t="inlineStr">
        <is>
          <t>Critical</t>
        </is>
      </c>
      <c r="F8" t="inlineStr">
        <is>
          <t>Resolved</t>
        </is>
      </c>
      <c r="G8" t="inlineStr">
        <is>
          <t>IT Support</t>
        </is>
      </c>
      <c r="H8" t="n">
        <v>28</v>
      </c>
      <c r="I8" t="n">
        <v>4</v>
      </c>
      <c r="J8">
        <f>IF(H8&lt;=I8,"Within SLA","SLA Breached")</f>
        <v/>
      </c>
    </row>
    <row r="9">
      <c r="A9" t="inlineStr">
        <is>
          <t>T008</t>
        </is>
      </c>
      <c r="B9" s="6" t="n">
        <v>46247</v>
      </c>
      <c r="C9" t="inlineStr">
        <is>
          <t>IT</t>
        </is>
      </c>
      <c r="D9" t="inlineStr">
        <is>
          <t>Login Issue</t>
        </is>
      </c>
      <c r="E9" t="inlineStr">
        <is>
          <t>Medium</t>
        </is>
      </c>
      <c r="F9" t="inlineStr">
        <is>
          <t>Resolved</t>
        </is>
      </c>
      <c r="G9" t="inlineStr">
        <is>
          <t>IT Support</t>
        </is>
      </c>
      <c r="H9" t="n">
        <v>30</v>
      </c>
      <c r="I9" t="n">
        <v>16</v>
      </c>
      <c r="J9">
        <f>IF(H9&lt;=I9,"Within SLA","SLA Breached")</f>
        <v/>
      </c>
    </row>
    <row r="10">
      <c r="A10" t="inlineStr">
        <is>
          <t>T009</t>
        </is>
      </c>
      <c r="B10" s="6" t="n">
        <v>46262</v>
      </c>
      <c r="C10" t="inlineStr">
        <is>
          <t>IT</t>
        </is>
      </c>
      <c r="D10" t="inlineStr">
        <is>
          <t>VPN Issue</t>
        </is>
      </c>
      <c r="E10" t="inlineStr">
        <is>
          <t>High</t>
        </is>
      </c>
      <c r="F10" t="inlineStr">
        <is>
          <t>Resolved</t>
        </is>
      </c>
      <c r="G10" t="inlineStr">
        <is>
          <t>Network</t>
        </is>
      </c>
      <c r="H10" t="n">
        <v>29</v>
      </c>
      <c r="I10" t="n">
        <v>8</v>
      </c>
      <c r="J10">
        <f>IF(H10&lt;=I10,"Within SLA","SLA Breached")</f>
        <v/>
      </c>
    </row>
    <row r="11">
      <c r="A11" t="inlineStr">
        <is>
          <t>T010</t>
        </is>
      </c>
      <c r="B11" s="6" t="n">
        <v>46242</v>
      </c>
      <c r="C11" t="inlineStr">
        <is>
          <t>IT</t>
        </is>
      </c>
      <c r="D11" t="inlineStr">
        <is>
          <t>VPN Issue</t>
        </is>
      </c>
      <c r="E11" t="inlineStr">
        <is>
          <t>High</t>
        </is>
      </c>
      <c r="F11" t="inlineStr">
        <is>
          <t>Resolved</t>
        </is>
      </c>
      <c r="G11" t="inlineStr">
        <is>
          <t>Network</t>
        </is>
      </c>
      <c r="H11" t="n">
        <v>22</v>
      </c>
      <c r="I11" t="n">
        <v>8</v>
      </c>
      <c r="J11">
        <f>IF(H11&lt;=I11,"Within SLA","SLA Breached")</f>
        <v/>
      </c>
    </row>
    <row r="12">
      <c r="A12" t="inlineStr">
        <is>
          <t>T011</t>
        </is>
      </c>
      <c r="B12" s="6" t="n">
        <v>46243</v>
      </c>
      <c r="C12" t="inlineStr">
        <is>
          <t>IT</t>
        </is>
      </c>
      <c r="D12" t="inlineStr">
        <is>
          <t>Password Reset</t>
        </is>
      </c>
      <c r="E12" t="inlineStr">
        <is>
          <t>Low</t>
        </is>
      </c>
      <c r="F12" t="inlineStr">
        <is>
          <t>In Progress</t>
        </is>
      </c>
      <c r="G12" t="inlineStr">
        <is>
          <t>IT Support</t>
        </is>
      </c>
      <c r="H12" t="n">
        <v>12</v>
      </c>
      <c r="I12" t="n">
        <v>24</v>
      </c>
      <c r="J12">
        <f>IF(H12&lt;=I12,"Within SLA","SLA Breached")</f>
        <v/>
      </c>
    </row>
    <row r="13">
      <c r="A13" t="inlineStr">
        <is>
          <t>T012</t>
        </is>
      </c>
      <c r="B13" s="6" t="n">
        <v>46241</v>
      </c>
      <c r="C13" t="inlineStr">
        <is>
          <t>IT</t>
        </is>
      </c>
      <c r="D13" t="inlineStr">
        <is>
          <t>Connectivity Issue</t>
        </is>
      </c>
      <c r="E13" t="inlineStr">
        <is>
          <t>Low</t>
        </is>
      </c>
      <c r="F13" t="inlineStr">
        <is>
          <t>Resolved</t>
        </is>
      </c>
      <c r="G13" t="inlineStr">
        <is>
          <t>Network</t>
        </is>
      </c>
      <c r="H13" t="n">
        <v>12</v>
      </c>
      <c r="I13" t="n">
        <v>24</v>
      </c>
      <c r="J13">
        <f>IF(H13&lt;=I13,"Within SLA","SLA Breached")</f>
        <v/>
      </c>
    </row>
    <row r="14">
      <c r="A14" t="inlineStr">
        <is>
          <t>T013</t>
        </is>
      </c>
      <c r="B14" s="6" t="n">
        <v>46254</v>
      </c>
      <c r="C14" t="inlineStr">
        <is>
          <t>Security</t>
        </is>
      </c>
      <c r="D14" t="inlineStr">
        <is>
          <t>Suspicious Login</t>
        </is>
      </c>
      <c r="E14" t="inlineStr">
        <is>
          <t>Medium</t>
        </is>
      </c>
      <c r="F14" t="inlineStr">
        <is>
          <t>Open</t>
        </is>
      </c>
      <c r="G14" t="inlineStr">
        <is>
          <t>SOC</t>
        </is>
      </c>
      <c r="H14" t="n">
        <v>2</v>
      </c>
      <c r="I14" t="n">
        <v>16</v>
      </c>
      <c r="J14">
        <f>IF(H14&lt;=I14,"Within SLA","SLA Breached")</f>
        <v/>
      </c>
    </row>
    <row r="15">
      <c r="A15" t="inlineStr">
        <is>
          <t>T014</t>
        </is>
      </c>
      <c r="B15" s="6" t="n">
        <v>46243</v>
      </c>
      <c r="C15" t="inlineStr">
        <is>
          <t>IT</t>
        </is>
      </c>
      <c r="D15" t="inlineStr">
        <is>
          <t>Connectivity Issue</t>
        </is>
      </c>
      <c r="E15" t="inlineStr">
        <is>
          <t>Medium</t>
        </is>
      </c>
      <c r="F15" t="inlineStr">
        <is>
          <t>Resolved</t>
        </is>
      </c>
      <c r="G15" t="inlineStr">
        <is>
          <t>Network</t>
        </is>
      </c>
      <c r="H15" t="n">
        <v>13</v>
      </c>
      <c r="I15" t="n">
        <v>16</v>
      </c>
      <c r="J15">
        <f>IF(H15&lt;=I15,"Within SLA","SLA Breached")</f>
        <v/>
      </c>
    </row>
    <row r="16">
      <c r="A16" t="inlineStr">
        <is>
          <t>T015</t>
        </is>
      </c>
      <c r="B16" s="6" t="n">
        <v>46242</v>
      </c>
      <c r="C16" t="inlineStr">
        <is>
          <t>IT</t>
        </is>
      </c>
      <c r="D16" t="inlineStr">
        <is>
          <t>Network Issue</t>
        </is>
      </c>
      <c r="E16" t="inlineStr">
        <is>
          <t>Medium</t>
        </is>
      </c>
      <c r="F16" t="inlineStr">
        <is>
          <t>Open</t>
        </is>
      </c>
      <c r="G16" t="inlineStr">
        <is>
          <t>Network</t>
        </is>
      </c>
      <c r="H16" t="n">
        <v>1</v>
      </c>
      <c r="I16" t="n">
        <v>16</v>
      </c>
      <c r="J16">
        <f>IF(H16&lt;=I16,"Within SLA","SLA Breached")</f>
        <v/>
      </c>
    </row>
    <row r="17">
      <c r="A17" t="inlineStr">
        <is>
          <t>T016</t>
        </is>
      </c>
      <c r="B17" s="6" t="n">
        <v>46265</v>
      </c>
      <c r="C17" t="inlineStr">
        <is>
          <t>Security</t>
        </is>
      </c>
      <c r="D17" t="inlineStr">
        <is>
          <t>Malware Alert</t>
        </is>
      </c>
      <c r="E17" t="inlineStr">
        <is>
          <t>Medium</t>
        </is>
      </c>
      <c r="F17" t="inlineStr">
        <is>
          <t>Resolved</t>
        </is>
      </c>
      <c r="G17" t="inlineStr">
        <is>
          <t>SOC</t>
        </is>
      </c>
      <c r="H17" t="n">
        <v>30</v>
      </c>
      <c r="I17" t="n">
        <v>16</v>
      </c>
      <c r="J17">
        <f>IF(H17&lt;=I17,"Within SLA","SLA Breached")</f>
        <v/>
      </c>
    </row>
    <row r="18">
      <c r="A18" t="inlineStr">
        <is>
          <t>T017</t>
        </is>
      </c>
      <c r="B18" s="6" t="n">
        <v>46255</v>
      </c>
      <c r="C18" t="inlineStr">
        <is>
          <t>IT</t>
        </is>
      </c>
      <c r="D18" t="inlineStr">
        <is>
          <t>Password Reset</t>
        </is>
      </c>
      <c r="E18" t="inlineStr">
        <is>
          <t>Medium</t>
        </is>
      </c>
      <c r="F18" t="inlineStr">
        <is>
          <t>Resolved</t>
        </is>
      </c>
      <c r="G18" t="inlineStr">
        <is>
          <t>IT Support</t>
        </is>
      </c>
      <c r="H18" t="n">
        <v>30</v>
      </c>
      <c r="I18" t="n">
        <v>16</v>
      </c>
      <c r="J18">
        <f>IF(H18&lt;=I18,"Within SLA","SLA Breached")</f>
        <v/>
      </c>
    </row>
    <row r="19">
      <c r="A19" t="inlineStr">
        <is>
          <t>T018</t>
        </is>
      </c>
      <c r="B19" s="6" t="n">
        <v>46252</v>
      </c>
      <c r="C19" t="inlineStr">
        <is>
          <t>IT</t>
        </is>
      </c>
      <c r="D19" t="inlineStr">
        <is>
          <t>Access Request</t>
        </is>
      </c>
      <c r="E19" t="inlineStr">
        <is>
          <t>High</t>
        </is>
      </c>
      <c r="F19" t="inlineStr">
        <is>
          <t>Resolved</t>
        </is>
      </c>
      <c r="G19" t="inlineStr">
        <is>
          <t>IT Support</t>
        </is>
      </c>
      <c r="H19" t="n">
        <v>18</v>
      </c>
      <c r="I19" t="n">
        <v>8</v>
      </c>
      <c r="J19">
        <f>IF(H19&lt;=I19,"Within SLA","SLA Breached")</f>
        <v/>
      </c>
    </row>
    <row r="20">
      <c r="A20" t="inlineStr">
        <is>
          <t>T019</t>
        </is>
      </c>
      <c r="B20" s="6" t="n">
        <v>46246</v>
      </c>
      <c r="C20" t="inlineStr">
        <is>
          <t>IT</t>
        </is>
      </c>
      <c r="D20" t="inlineStr">
        <is>
          <t>Network Issue</t>
        </is>
      </c>
      <c r="E20" t="inlineStr">
        <is>
          <t>Medium</t>
        </is>
      </c>
      <c r="F20" t="inlineStr">
        <is>
          <t>In Progress</t>
        </is>
      </c>
      <c r="G20" t="inlineStr">
        <is>
          <t>Network</t>
        </is>
      </c>
      <c r="H20" t="n">
        <v>12</v>
      </c>
      <c r="I20" t="n">
        <v>16</v>
      </c>
      <c r="J20">
        <f>IF(H20&lt;=I20,"Within SLA","SLA Breached")</f>
        <v/>
      </c>
    </row>
    <row r="21">
      <c r="A21" t="inlineStr">
        <is>
          <t>T020</t>
        </is>
      </c>
      <c r="B21" s="6" t="n">
        <v>46262</v>
      </c>
      <c r="C21" t="inlineStr">
        <is>
          <t>IT</t>
        </is>
      </c>
      <c r="D21" t="inlineStr">
        <is>
          <t>Login Issue</t>
        </is>
      </c>
      <c r="E21" t="inlineStr">
        <is>
          <t>Medium</t>
        </is>
      </c>
      <c r="F21" t="inlineStr">
        <is>
          <t>Resolved</t>
        </is>
      </c>
      <c r="G21" t="inlineStr">
        <is>
          <t>IT Support</t>
        </is>
      </c>
      <c r="H21" t="n">
        <v>2</v>
      </c>
      <c r="I21" t="n">
        <v>16</v>
      </c>
      <c r="J21">
        <f>IF(H21&lt;=I21,"Within SLA","SLA Breached")</f>
        <v/>
      </c>
    </row>
    <row r="22">
      <c r="A22" t="inlineStr">
        <is>
          <t>T021</t>
        </is>
      </c>
      <c r="B22" s="6" t="n">
        <v>46254</v>
      </c>
      <c r="C22" t="inlineStr">
        <is>
          <t>IT</t>
        </is>
      </c>
      <c r="D22" t="inlineStr">
        <is>
          <t>Login Issue</t>
        </is>
      </c>
      <c r="E22" t="inlineStr">
        <is>
          <t>Medium</t>
        </is>
      </c>
      <c r="F22" t="inlineStr">
        <is>
          <t>Open</t>
        </is>
      </c>
      <c r="G22" t="inlineStr">
        <is>
          <t>IT Support</t>
        </is>
      </c>
      <c r="H22" t="n">
        <v>13</v>
      </c>
      <c r="I22" t="n">
        <v>16</v>
      </c>
      <c r="J22">
        <f>IF(H22&lt;=I22,"Within SLA","SLA Breached")</f>
        <v/>
      </c>
    </row>
    <row r="23">
      <c r="A23" t="inlineStr">
        <is>
          <t>T022</t>
        </is>
      </c>
      <c r="B23" s="6" t="n">
        <v>46243</v>
      </c>
      <c r="C23" t="inlineStr">
        <is>
          <t>Security</t>
        </is>
      </c>
      <c r="D23" t="inlineStr">
        <is>
          <t>Phishing Alert</t>
        </is>
      </c>
      <c r="E23" t="inlineStr">
        <is>
          <t>High</t>
        </is>
      </c>
      <c r="F23" t="inlineStr">
        <is>
          <t>In Progress</t>
        </is>
      </c>
      <c r="G23" t="inlineStr">
        <is>
          <t>SOC</t>
        </is>
      </c>
      <c r="H23" t="n">
        <v>16</v>
      </c>
      <c r="I23" t="n">
        <v>8</v>
      </c>
      <c r="J23">
        <f>IF(H23&lt;=I23,"Within SLA","SLA Breached")</f>
        <v/>
      </c>
    </row>
    <row r="24">
      <c r="A24" t="inlineStr">
        <is>
          <t>T023</t>
        </is>
      </c>
      <c r="B24" s="6" t="n">
        <v>46259</v>
      </c>
      <c r="C24" t="inlineStr">
        <is>
          <t>IT</t>
        </is>
      </c>
      <c r="D24" t="inlineStr">
        <is>
          <t>VPN Issue</t>
        </is>
      </c>
      <c r="E24" t="inlineStr">
        <is>
          <t>Medium</t>
        </is>
      </c>
      <c r="F24" t="inlineStr">
        <is>
          <t>Open</t>
        </is>
      </c>
      <c r="G24" t="inlineStr">
        <is>
          <t>Network</t>
        </is>
      </c>
      <c r="H24" t="n">
        <v>17</v>
      </c>
      <c r="I24" t="n">
        <v>16</v>
      </c>
      <c r="J24">
        <f>IF(H24&lt;=I24,"Within SLA","SLA Breached")</f>
        <v/>
      </c>
    </row>
    <row r="25">
      <c r="A25" t="inlineStr">
        <is>
          <t>T024</t>
        </is>
      </c>
      <c r="B25" s="6" t="n">
        <v>46249</v>
      </c>
      <c r="C25" t="inlineStr">
        <is>
          <t>IT</t>
        </is>
      </c>
      <c r="D25" t="inlineStr">
        <is>
          <t>Network Issue</t>
        </is>
      </c>
      <c r="E25" t="inlineStr">
        <is>
          <t>High</t>
        </is>
      </c>
      <c r="F25" t="inlineStr">
        <is>
          <t>Resolved</t>
        </is>
      </c>
      <c r="G25" t="inlineStr">
        <is>
          <t>Network</t>
        </is>
      </c>
      <c r="H25" t="n">
        <v>6</v>
      </c>
      <c r="I25" t="n">
        <v>8</v>
      </c>
      <c r="J25">
        <f>IF(H25&lt;=I25,"Within SLA","SLA Breached")</f>
        <v/>
      </c>
    </row>
    <row r="26">
      <c r="A26" t="inlineStr">
        <is>
          <t>T025</t>
        </is>
      </c>
      <c r="B26" s="6" t="n">
        <v>46259</v>
      </c>
      <c r="C26" t="inlineStr">
        <is>
          <t>IT</t>
        </is>
      </c>
      <c r="D26" t="inlineStr">
        <is>
          <t>Network Issue</t>
        </is>
      </c>
      <c r="E26" t="inlineStr">
        <is>
          <t>Low</t>
        </is>
      </c>
      <c r="F26" t="inlineStr">
        <is>
          <t>Resolved</t>
        </is>
      </c>
      <c r="G26" t="inlineStr">
        <is>
          <t>Network</t>
        </is>
      </c>
      <c r="H26" t="n">
        <v>17</v>
      </c>
      <c r="I26" t="n">
        <v>24</v>
      </c>
      <c r="J26">
        <f>IF(H26&lt;=I26,"Within SLA","SLA Breached")</f>
        <v/>
      </c>
    </row>
    <row r="27">
      <c r="A27" t="inlineStr">
        <is>
          <t>T026</t>
        </is>
      </c>
      <c r="B27" s="6" t="n">
        <v>46261</v>
      </c>
      <c r="C27" t="inlineStr">
        <is>
          <t>IT</t>
        </is>
      </c>
      <c r="D27" t="inlineStr">
        <is>
          <t>Connectivity Issue</t>
        </is>
      </c>
      <c r="E27" t="inlineStr">
        <is>
          <t>Low</t>
        </is>
      </c>
      <c r="F27" t="inlineStr">
        <is>
          <t>In Progress</t>
        </is>
      </c>
      <c r="G27" t="inlineStr">
        <is>
          <t>Network</t>
        </is>
      </c>
      <c r="H27" t="n">
        <v>9</v>
      </c>
      <c r="I27" t="n">
        <v>24</v>
      </c>
      <c r="J27">
        <f>IF(H27&lt;=I27,"Within SLA","SLA Breached")</f>
        <v/>
      </c>
    </row>
    <row r="28">
      <c r="A28" t="inlineStr">
        <is>
          <t>T027</t>
        </is>
      </c>
      <c r="B28" s="6" t="n">
        <v>46240</v>
      </c>
      <c r="C28" t="inlineStr">
        <is>
          <t>IT</t>
        </is>
      </c>
      <c r="D28" t="inlineStr">
        <is>
          <t>Connectivity Issue</t>
        </is>
      </c>
      <c r="E28" t="inlineStr">
        <is>
          <t>Medium</t>
        </is>
      </c>
      <c r="F28" t="inlineStr">
        <is>
          <t>Resolved</t>
        </is>
      </c>
      <c r="G28" t="inlineStr">
        <is>
          <t>Network</t>
        </is>
      </c>
      <c r="H28" t="n">
        <v>25</v>
      </c>
      <c r="I28" t="n">
        <v>16</v>
      </c>
      <c r="J28">
        <f>IF(H28&lt;=I28,"Within SLA","SLA Breached")</f>
        <v/>
      </c>
    </row>
    <row r="29">
      <c r="A29" t="inlineStr">
        <is>
          <t>T028</t>
        </is>
      </c>
      <c r="B29" s="6" t="n">
        <v>46235</v>
      </c>
      <c r="C29" t="inlineStr">
        <is>
          <t>IT</t>
        </is>
      </c>
      <c r="D29" t="inlineStr">
        <is>
          <t>Network Issue</t>
        </is>
      </c>
      <c r="E29" t="inlineStr">
        <is>
          <t>Low</t>
        </is>
      </c>
      <c r="F29" t="inlineStr">
        <is>
          <t>Resolved</t>
        </is>
      </c>
      <c r="G29" t="inlineStr">
        <is>
          <t>Network</t>
        </is>
      </c>
      <c r="H29" t="n">
        <v>16</v>
      </c>
      <c r="I29" t="n">
        <v>24</v>
      </c>
      <c r="J29">
        <f>IF(H29&lt;=I29,"Within SLA","SLA Breached")</f>
        <v/>
      </c>
    </row>
    <row r="30">
      <c r="A30" t="inlineStr">
        <is>
          <t>T029</t>
        </is>
      </c>
      <c r="B30" s="6" t="n">
        <v>46242</v>
      </c>
      <c r="C30" t="inlineStr">
        <is>
          <t>Security</t>
        </is>
      </c>
      <c r="D30" t="inlineStr">
        <is>
          <t>Phishing Alert</t>
        </is>
      </c>
      <c r="E30" t="inlineStr">
        <is>
          <t>Low</t>
        </is>
      </c>
      <c r="F30" t="inlineStr">
        <is>
          <t>Open</t>
        </is>
      </c>
      <c r="G30" t="inlineStr">
        <is>
          <t>SOC</t>
        </is>
      </c>
      <c r="H30" t="n">
        <v>9</v>
      </c>
      <c r="I30" t="n">
        <v>24</v>
      </c>
      <c r="J30">
        <f>IF(H30&lt;=I30,"Within SLA","SLA Breached")</f>
        <v/>
      </c>
    </row>
    <row r="31">
      <c r="A31" t="inlineStr">
        <is>
          <t>T030</t>
        </is>
      </c>
      <c r="B31" s="6" t="n">
        <v>46258</v>
      </c>
      <c r="C31" t="inlineStr">
        <is>
          <t>IT</t>
        </is>
      </c>
      <c r="D31" t="inlineStr">
        <is>
          <t>Password Reset</t>
        </is>
      </c>
      <c r="E31" t="inlineStr">
        <is>
          <t>Low</t>
        </is>
      </c>
      <c r="F31" t="inlineStr">
        <is>
          <t>In Progress</t>
        </is>
      </c>
      <c r="G31" t="inlineStr">
        <is>
          <t>IT Support</t>
        </is>
      </c>
      <c r="H31" t="n">
        <v>2</v>
      </c>
      <c r="I31" t="n">
        <v>24</v>
      </c>
      <c r="J31">
        <f>IF(H31&lt;=I31,"Within SLA","SLA Breached")</f>
        <v/>
      </c>
    </row>
    <row r="32">
      <c r="A32" t="inlineStr">
        <is>
          <t>T031</t>
        </is>
      </c>
      <c r="B32" s="6" t="n">
        <v>46239</v>
      </c>
      <c r="C32" t="inlineStr">
        <is>
          <t>IT</t>
        </is>
      </c>
      <c r="D32" t="inlineStr">
        <is>
          <t>Password Reset</t>
        </is>
      </c>
      <c r="E32" t="inlineStr">
        <is>
          <t>Low</t>
        </is>
      </c>
      <c r="F32" t="inlineStr">
        <is>
          <t>Resolved</t>
        </is>
      </c>
      <c r="G32" t="inlineStr">
        <is>
          <t>IT Support</t>
        </is>
      </c>
      <c r="H32" t="n">
        <v>5</v>
      </c>
      <c r="I32" t="n">
        <v>24</v>
      </c>
      <c r="J32">
        <f>IF(H32&lt;=I32,"Within SLA","SLA Breached")</f>
        <v/>
      </c>
    </row>
    <row r="33">
      <c r="A33" t="inlineStr">
        <is>
          <t>T032</t>
        </is>
      </c>
      <c r="B33" s="6" t="n">
        <v>46248</v>
      </c>
      <c r="C33" t="inlineStr">
        <is>
          <t>IT</t>
        </is>
      </c>
      <c r="D33" t="inlineStr">
        <is>
          <t>Network Issue</t>
        </is>
      </c>
      <c r="E33" t="inlineStr">
        <is>
          <t>High</t>
        </is>
      </c>
      <c r="F33" t="inlineStr">
        <is>
          <t>Resolved</t>
        </is>
      </c>
      <c r="G33" t="inlineStr">
        <is>
          <t>Network</t>
        </is>
      </c>
      <c r="H33" t="n">
        <v>20</v>
      </c>
      <c r="I33" t="n">
        <v>8</v>
      </c>
      <c r="J33">
        <f>IF(H33&lt;=I33,"Within SLA","SLA Breached")</f>
        <v/>
      </c>
    </row>
    <row r="34">
      <c r="A34" t="inlineStr">
        <is>
          <t>T033</t>
        </is>
      </c>
      <c r="B34" s="6" t="n">
        <v>46247</v>
      </c>
      <c r="C34" t="inlineStr">
        <is>
          <t>IT</t>
        </is>
      </c>
      <c r="D34" t="inlineStr">
        <is>
          <t>Connectivity Issue</t>
        </is>
      </c>
      <c r="E34" t="inlineStr">
        <is>
          <t>Medium</t>
        </is>
      </c>
      <c r="F34" t="inlineStr">
        <is>
          <t>Open</t>
        </is>
      </c>
      <c r="G34" t="inlineStr">
        <is>
          <t>Network</t>
        </is>
      </c>
      <c r="H34" t="n">
        <v>9</v>
      </c>
      <c r="I34" t="n">
        <v>16</v>
      </c>
      <c r="J34">
        <f>IF(H34&lt;=I34,"Within SLA","SLA Breached")</f>
        <v/>
      </c>
    </row>
    <row r="35">
      <c r="A35" t="inlineStr">
        <is>
          <t>T034</t>
        </is>
      </c>
      <c r="B35" s="6" t="n">
        <v>46238</v>
      </c>
      <c r="C35" t="inlineStr">
        <is>
          <t>IT</t>
        </is>
      </c>
      <c r="D35" t="inlineStr">
        <is>
          <t>Network Issue</t>
        </is>
      </c>
      <c r="E35" t="inlineStr">
        <is>
          <t>High</t>
        </is>
      </c>
      <c r="F35" t="inlineStr">
        <is>
          <t>In Progress</t>
        </is>
      </c>
      <c r="G35" t="inlineStr">
        <is>
          <t>Network</t>
        </is>
      </c>
      <c r="H35" t="n">
        <v>14</v>
      </c>
      <c r="I35" t="n">
        <v>8</v>
      </c>
      <c r="J35">
        <f>IF(H35&lt;=I35,"Within SLA","SLA Breached")</f>
        <v/>
      </c>
    </row>
    <row r="36">
      <c r="A36" t="inlineStr">
        <is>
          <t>T035</t>
        </is>
      </c>
      <c r="B36" s="6" t="n">
        <v>46242</v>
      </c>
      <c r="C36" t="inlineStr">
        <is>
          <t>IT</t>
        </is>
      </c>
      <c r="D36" t="inlineStr">
        <is>
          <t>Software Issue</t>
        </is>
      </c>
      <c r="E36" t="inlineStr">
        <is>
          <t>Critical</t>
        </is>
      </c>
      <c r="F36" t="inlineStr">
        <is>
          <t>Resolved</t>
        </is>
      </c>
      <c r="G36" t="inlineStr">
        <is>
          <t>IT Support</t>
        </is>
      </c>
      <c r="H36" t="n">
        <v>18</v>
      </c>
      <c r="I36" t="n">
        <v>4</v>
      </c>
      <c r="J36">
        <f>IF(H36&lt;=I36,"Within SLA","SLA Breached")</f>
        <v/>
      </c>
    </row>
    <row r="37">
      <c r="A37" t="inlineStr">
        <is>
          <t>T036</t>
        </is>
      </c>
      <c r="B37" s="6" t="n">
        <v>46237</v>
      </c>
      <c r="C37" t="inlineStr">
        <is>
          <t>IT</t>
        </is>
      </c>
      <c r="D37" t="inlineStr">
        <is>
          <t>Login Issue</t>
        </is>
      </c>
      <c r="E37" t="inlineStr">
        <is>
          <t>Critical</t>
        </is>
      </c>
      <c r="F37" t="inlineStr">
        <is>
          <t>Resolved</t>
        </is>
      </c>
      <c r="G37" t="inlineStr">
        <is>
          <t>IT Support</t>
        </is>
      </c>
      <c r="H37" t="n">
        <v>8</v>
      </c>
      <c r="I37" t="n">
        <v>4</v>
      </c>
      <c r="J37">
        <f>IF(H37&lt;=I37,"Within SLA","SLA Breached")</f>
        <v/>
      </c>
    </row>
    <row r="38">
      <c r="A38" t="inlineStr">
        <is>
          <t>T037</t>
        </is>
      </c>
      <c r="B38" s="6" t="n">
        <v>46250</v>
      </c>
      <c r="C38" t="inlineStr">
        <is>
          <t>Security</t>
        </is>
      </c>
      <c r="D38" t="inlineStr">
        <is>
          <t>Suspicious Login</t>
        </is>
      </c>
      <c r="E38" t="inlineStr">
        <is>
          <t>Critical</t>
        </is>
      </c>
      <c r="F38" t="inlineStr">
        <is>
          <t>Resolved</t>
        </is>
      </c>
      <c r="G38" t="inlineStr">
        <is>
          <t>SOC</t>
        </is>
      </c>
      <c r="H38" t="n">
        <v>22</v>
      </c>
      <c r="I38" t="n">
        <v>4</v>
      </c>
      <c r="J38">
        <f>IF(H38&lt;=I38,"Within SLA","SLA Breached")</f>
        <v/>
      </c>
    </row>
    <row r="39">
      <c r="A39" t="inlineStr">
        <is>
          <t>T038</t>
        </is>
      </c>
      <c r="B39" s="6" t="n">
        <v>46253</v>
      </c>
      <c r="C39" t="inlineStr">
        <is>
          <t>IT</t>
        </is>
      </c>
      <c r="D39" t="inlineStr">
        <is>
          <t>VPN Issue</t>
        </is>
      </c>
      <c r="E39" t="inlineStr">
        <is>
          <t>High</t>
        </is>
      </c>
      <c r="F39" t="inlineStr">
        <is>
          <t>In Progress</t>
        </is>
      </c>
      <c r="G39" t="inlineStr">
        <is>
          <t>Network</t>
        </is>
      </c>
      <c r="H39" t="n">
        <v>18</v>
      </c>
      <c r="I39" t="n">
        <v>8</v>
      </c>
      <c r="J39">
        <f>IF(H39&lt;=I39,"Within SLA","SLA Breached")</f>
        <v/>
      </c>
    </row>
    <row r="40">
      <c r="A40" t="inlineStr">
        <is>
          <t>T039</t>
        </is>
      </c>
      <c r="B40" s="6" t="n">
        <v>46238</v>
      </c>
      <c r="C40" t="inlineStr">
        <is>
          <t>IT</t>
        </is>
      </c>
      <c r="D40" t="inlineStr">
        <is>
          <t>Login Issue</t>
        </is>
      </c>
      <c r="E40" t="inlineStr">
        <is>
          <t>Medium</t>
        </is>
      </c>
      <c r="F40" t="inlineStr">
        <is>
          <t>Open</t>
        </is>
      </c>
      <c r="G40" t="inlineStr">
        <is>
          <t>IT Support</t>
        </is>
      </c>
      <c r="H40" t="n">
        <v>6</v>
      </c>
      <c r="I40" t="n">
        <v>16</v>
      </c>
      <c r="J40">
        <f>IF(H40&lt;=I40,"Within SLA","SLA Breached")</f>
        <v/>
      </c>
    </row>
    <row r="41">
      <c r="A41" t="inlineStr">
        <is>
          <t>T040</t>
        </is>
      </c>
      <c r="B41" s="6" t="n">
        <v>46262</v>
      </c>
      <c r="C41" t="inlineStr">
        <is>
          <t>IT</t>
        </is>
      </c>
      <c r="D41" t="inlineStr">
        <is>
          <t>Connectivity Issue</t>
        </is>
      </c>
      <c r="E41" t="inlineStr">
        <is>
          <t>Medium</t>
        </is>
      </c>
      <c r="F41" t="inlineStr">
        <is>
          <t>Resolved</t>
        </is>
      </c>
      <c r="G41" t="inlineStr">
        <is>
          <t>Network</t>
        </is>
      </c>
      <c r="H41" t="n">
        <v>15</v>
      </c>
      <c r="I41" t="n">
        <v>16</v>
      </c>
      <c r="J41">
        <f>IF(H41&lt;=I41,"Within SLA","SLA Breached")</f>
        <v/>
      </c>
    </row>
    <row r="42">
      <c r="A42" t="inlineStr">
        <is>
          <t>T041</t>
        </is>
      </c>
      <c r="B42" s="6" t="n">
        <v>46236</v>
      </c>
      <c r="C42" t="inlineStr">
        <is>
          <t>IT</t>
        </is>
      </c>
      <c r="D42" t="inlineStr">
        <is>
          <t>Password Reset</t>
        </is>
      </c>
      <c r="E42" t="inlineStr">
        <is>
          <t>Medium</t>
        </is>
      </c>
      <c r="F42" t="inlineStr">
        <is>
          <t>In Progress</t>
        </is>
      </c>
      <c r="G42" t="inlineStr">
        <is>
          <t>IT Support</t>
        </is>
      </c>
      <c r="H42" t="n">
        <v>3</v>
      </c>
      <c r="I42" t="n">
        <v>16</v>
      </c>
      <c r="J42">
        <f>IF(H42&lt;=I42,"Within SLA","SLA Breached")</f>
        <v/>
      </c>
    </row>
    <row r="43">
      <c r="A43" t="inlineStr">
        <is>
          <t>T042</t>
        </is>
      </c>
      <c r="B43" s="6" t="n">
        <v>46241</v>
      </c>
      <c r="C43" t="inlineStr">
        <is>
          <t>IT</t>
        </is>
      </c>
      <c r="D43" t="inlineStr">
        <is>
          <t>Network Issue</t>
        </is>
      </c>
      <c r="E43" t="inlineStr">
        <is>
          <t>High</t>
        </is>
      </c>
      <c r="F43" t="inlineStr">
        <is>
          <t>In Progress</t>
        </is>
      </c>
      <c r="G43" t="inlineStr">
        <is>
          <t>Network</t>
        </is>
      </c>
      <c r="H43" t="n">
        <v>7</v>
      </c>
      <c r="I43" t="n">
        <v>8</v>
      </c>
      <c r="J43">
        <f>IF(H43&lt;=I43,"Within SLA","SLA Breached")</f>
        <v/>
      </c>
    </row>
    <row r="44">
      <c r="A44" t="inlineStr">
        <is>
          <t>T043</t>
        </is>
      </c>
      <c r="B44" s="6" t="n">
        <v>46249</v>
      </c>
      <c r="C44" t="inlineStr">
        <is>
          <t>IT</t>
        </is>
      </c>
      <c r="D44" t="inlineStr">
        <is>
          <t>Network Issue</t>
        </is>
      </c>
      <c r="E44" t="inlineStr">
        <is>
          <t>Medium</t>
        </is>
      </c>
      <c r="F44" t="inlineStr">
        <is>
          <t>Resolved</t>
        </is>
      </c>
      <c r="G44" t="inlineStr">
        <is>
          <t>Network</t>
        </is>
      </c>
      <c r="H44" t="n">
        <v>9</v>
      </c>
      <c r="I44" t="n">
        <v>16</v>
      </c>
      <c r="J44">
        <f>IF(H44&lt;=I44,"Within SLA","SLA Breached")</f>
        <v/>
      </c>
    </row>
    <row r="45">
      <c r="A45" t="inlineStr">
        <is>
          <t>T044</t>
        </is>
      </c>
      <c r="B45" s="6" t="n">
        <v>46238</v>
      </c>
      <c r="C45" t="inlineStr">
        <is>
          <t>IT</t>
        </is>
      </c>
      <c r="D45" t="inlineStr">
        <is>
          <t>Login Issue</t>
        </is>
      </c>
      <c r="E45" t="inlineStr">
        <is>
          <t>Medium</t>
        </is>
      </c>
      <c r="F45" t="inlineStr">
        <is>
          <t>In Progress</t>
        </is>
      </c>
      <c r="G45" t="inlineStr">
        <is>
          <t>IT Support</t>
        </is>
      </c>
      <c r="H45" t="n">
        <v>17</v>
      </c>
      <c r="I45" t="n">
        <v>16</v>
      </c>
      <c r="J45">
        <f>IF(H45&lt;=I45,"Within SLA","SLA Breached")</f>
        <v/>
      </c>
    </row>
    <row r="46">
      <c r="A46" t="inlineStr">
        <is>
          <t>T045</t>
        </is>
      </c>
      <c r="B46" s="6" t="n">
        <v>46264</v>
      </c>
      <c r="C46" t="inlineStr">
        <is>
          <t>IT</t>
        </is>
      </c>
      <c r="D46" t="inlineStr">
        <is>
          <t>Network Issue</t>
        </is>
      </c>
      <c r="E46" t="inlineStr">
        <is>
          <t>Low</t>
        </is>
      </c>
      <c r="F46" t="inlineStr">
        <is>
          <t>Open</t>
        </is>
      </c>
      <c r="G46" t="inlineStr">
        <is>
          <t>Network</t>
        </is>
      </c>
      <c r="H46" t="n">
        <v>2</v>
      </c>
      <c r="I46" t="n">
        <v>24</v>
      </c>
      <c r="J46">
        <f>IF(H46&lt;=I46,"Within SLA","SLA Breached")</f>
        <v/>
      </c>
    </row>
    <row r="47">
      <c r="A47" t="inlineStr">
        <is>
          <t>T046</t>
        </is>
      </c>
      <c r="B47" s="6" t="n">
        <v>46247</v>
      </c>
      <c r="C47" t="inlineStr">
        <is>
          <t>IT</t>
        </is>
      </c>
      <c r="D47" t="inlineStr">
        <is>
          <t>Login Issue</t>
        </is>
      </c>
      <c r="E47" t="inlineStr">
        <is>
          <t>Medium</t>
        </is>
      </c>
      <c r="F47" t="inlineStr">
        <is>
          <t>Resolved</t>
        </is>
      </c>
      <c r="G47" t="inlineStr">
        <is>
          <t>IT Support</t>
        </is>
      </c>
      <c r="H47" t="n">
        <v>28</v>
      </c>
      <c r="I47" t="n">
        <v>16</v>
      </c>
      <c r="J47">
        <f>IF(H47&lt;=I47,"Within SLA","SLA Breached")</f>
        <v/>
      </c>
    </row>
    <row r="48">
      <c r="A48" t="inlineStr">
        <is>
          <t>T047</t>
        </is>
      </c>
      <c r="B48" s="6" t="n">
        <v>46264</v>
      </c>
      <c r="C48" t="inlineStr">
        <is>
          <t>IT</t>
        </is>
      </c>
      <c r="D48" t="inlineStr">
        <is>
          <t>Password Reset</t>
        </is>
      </c>
      <c r="E48" t="inlineStr">
        <is>
          <t>High</t>
        </is>
      </c>
      <c r="F48" t="inlineStr">
        <is>
          <t>In Progress</t>
        </is>
      </c>
      <c r="G48" t="inlineStr">
        <is>
          <t>IT Support</t>
        </is>
      </c>
      <c r="H48" t="n">
        <v>8</v>
      </c>
      <c r="I48" t="n">
        <v>8</v>
      </c>
      <c r="J48">
        <f>IF(H48&lt;=I48,"Within SLA","SLA Breached")</f>
        <v/>
      </c>
    </row>
    <row r="49">
      <c r="A49" t="inlineStr">
        <is>
          <t>T048</t>
        </is>
      </c>
      <c r="B49" s="6" t="n">
        <v>46256</v>
      </c>
      <c r="C49" t="inlineStr">
        <is>
          <t>Security</t>
        </is>
      </c>
      <c r="D49" t="inlineStr">
        <is>
          <t>Unauthorized Access</t>
        </is>
      </c>
      <c r="E49" t="inlineStr">
        <is>
          <t>Medium</t>
        </is>
      </c>
      <c r="F49" t="inlineStr">
        <is>
          <t>In Progress</t>
        </is>
      </c>
      <c r="G49" t="inlineStr">
        <is>
          <t>SOC</t>
        </is>
      </c>
      <c r="H49" t="n">
        <v>17</v>
      </c>
      <c r="I49" t="n">
        <v>16</v>
      </c>
      <c r="J49">
        <f>IF(H49&lt;=I49,"Within SLA","SLA Breached")</f>
        <v/>
      </c>
    </row>
    <row r="50">
      <c r="A50" t="inlineStr">
        <is>
          <t>T049</t>
        </is>
      </c>
      <c r="B50" s="6" t="n">
        <v>46253</v>
      </c>
      <c r="C50" t="inlineStr">
        <is>
          <t>IT</t>
        </is>
      </c>
      <c r="D50" t="inlineStr">
        <is>
          <t>Login Issue</t>
        </is>
      </c>
      <c r="E50" t="inlineStr">
        <is>
          <t>High</t>
        </is>
      </c>
      <c r="F50" t="inlineStr">
        <is>
          <t>Resolved</t>
        </is>
      </c>
      <c r="G50" t="inlineStr">
        <is>
          <t>IT Support</t>
        </is>
      </c>
      <c r="H50" t="n">
        <v>2</v>
      </c>
      <c r="I50" t="n">
        <v>8</v>
      </c>
      <c r="J50">
        <f>IF(H50&lt;=I50,"Within SLA","SLA Breached")</f>
        <v/>
      </c>
    </row>
    <row r="51">
      <c r="A51" t="inlineStr">
        <is>
          <t>T050</t>
        </is>
      </c>
      <c r="B51" s="6" t="n">
        <v>46251</v>
      </c>
      <c r="C51" t="inlineStr">
        <is>
          <t>IT</t>
        </is>
      </c>
      <c r="D51" t="inlineStr">
        <is>
          <t>Connectivity Issue</t>
        </is>
      </c>
      <c r="E51" t="inlineStr">
        <is>
          <t>High</t>
        </is>
      </c>
      <c r="F51" t="inlineStr">
        <is>
          <t>Resolved</t>
        </is>
      </c>
      <c r="G51" t="inlineStr">
        <is>
          <t>Network</t>
        </is>
      </c>
      <c r="H51" t="n">
        <v>16</v>
      </c>
      <c r="I51" t="n">
        <v>8</v>
      </c>
      <c r="J51">
        <f>IF(H51&lt;=I51,"Within SLA","SLA Breached")</f>
        <v/>
      </c>
    </row>
    <row r="52">
      <c r="A52" t="inlineStr">
        <is>
          <t>T051</t>
        </is>
      </c>
      <c r="B52" s="6" t="n">
        <v>46240</v>
      </c>
      <c r="C52" t="inlineStr">
        <is>
          <t>IT</t>
        </is>
      </c>
      <c r="D52" t="inlineStr">
        <is>
          <t>Login Issue</t>
        </is>
      </c>
      <c r="E52" t="inlineStr">
        <is>
          <t>Critical</t>
        </is>
      </c>
      <c r="F52" t="inlineStr">
        <is>
          <t>Resolved</t>
        </is>
      </c>
      <c r="G52" t="inlineStr">
        <is>
          <t>IT Support</t>
        </is>
      </c>
      <c r="H52" t="n">
        <v>28</v>
      </c>
      <c r="I52" t="n">
        <v>4</v>
      </c>
      <c r="J52">
        <f>IF(H52&lt;=I52,"Within SLA","SLA Breached")</f>
        <v/>
      </c>
    </row>
    <row r="53">
      <c r="A53" t="inlineStr">
        <is>
          <t>T052</t>
        </is>
      </c>
      <c r="B53" s="6" t="n">
        <v>46238</v>
      </c>
      <c r="C53" t="inlineStr">
        <is>
          <t>IT</t>
        </is>
      </c>
      <c r="D53" t="inlineStr">
        <is>
          <t>Connectivity Issue</t>
        </is>
      </c>
      <c r="E53" t="inlineStr">
        <is>
          <t>Critical</t>
        </is>
      </c>
      <c r="F53" t="inlineStr">
        <is>
          <t>In Progress</t>
        </is>
      </c>
      <c r="G53" t="inlineStr">
        <is>
          <t>Network</t>
        </is>
      </c>
      <c r="H53" t="n">
        <v>12</v>
      </c>
      <c r="I53" t="n">
        <v>4</v>
      </c>
      <c r="J53">
        <f>IF(H53&lt;=I53,"Within SLA","SLA Breached")</f>
        <v/>
      </c>
    </row>
    <row r="54">
      <c r="A54" t="inlineStr">
        <is>
          <t>T053</t>
        </is>
      </c>
      <c r="B54" s="6" t="n">
        <v>46248</v>
      </c>
      <c r="C54" t="inlineStr">
        <is>
          <t>IT</t>
        </is>
      </c>
      <c r="D54" t="inlineStr">
        <is>
          <t>Access Request</t>
        </is>
      </c>
      <c r="E54" t="inlineStr">
        <is>
          <t>Medium</t>
        </is>
      </c>
      <c r="F54" t="inlineStr">
        <is>
          <t>Resolved</t>
        </is>
      </c>
      <c r="G54" t="inlineStr">
        <is>
          <t>IT Support</t>
        </is>
      </c>
      <c r="H54" t="n">
        <v>3</v>
      </c>
      <c r="I54" t="n">
        <v>16</v>
      </c>
      <c r="J54">
        <f>IF(H54&lt;=I54,"Within SLA","SLA Breached")</f>
        <v/>
      </c>
    </row>
    <row r="55">
      <c r="A55" t="inlineStr">
        <is>
          <t>T054</t>
        </is>
      </c>
      <c r="B55" s="6" t="n">
        <v>46243</v>
      </c>
      <c r="C55" t="inlineStr">
        <is>
          <t>Security</t>
        </is>
      </c>
      <c r="D55" t="inlineStr">
        <is>
          <t>Unauthorized Access</t>
        </is>
      </c>
      <c r="E55" t="inlineStr">
        <is>
          <t>High</t>
        </is>
      </c>
      <c r="F55" t="inlineStr">
        <is>
          <t>Open</t>
        </is>
      </c>
      <c r="G55" t="inlineStr">
        <is>
          <t>SOC</t>
        </is>
      </c>
      <c r="H55" t="n">
        <v>7</v>
      </c>
      <c r="I55" t="n">
        <v>8</v>
      </c>
      <c r="J55">
        <f>IF(H55&lt;=I55,"Within SLA","SLA Breached")</f>
        <v/>
      </c>
    </row>
    <row r="56">
      <c r="A56" t="inlineStr">
        <is>
          <t>T055</t>
        </is>
      </c>
      <c r="B56" s="6" t="n">
        <v>46264</v>
      </c>
      <c r="C56" t="inlineStr">
        <is>
          <t>IT</t>
        </is>
      </c>
      <c r="D56" t="inlineStr">
        <is>
          <t>Login Issue</t>
        </is>
      </c>
      <c r="E56" t="inlineStr">
        <is>
          <t>Medium</t>
        </is>
      </c>
      <c r="F56" t="inlineStr">
        <is>
          <t>Resolved</t>
        </is>
      </c>
      <c r="G56" t="inlineStr">
        <is>
          <t>IT Support</t>
        </is>
      </c>
      <c r="H56" t="n">
        <v>11</v>
      </c>
      <c r="I56" t="n">
        <v>16</v>
      </c>
      <c r="J56">
        <f>IF(H56&lt;=I56,"Within SLA","SLA Breached")</f>
        <v/>
      </c>
    </row>
    <row r="57">
      <c r="A57" t="inlineStr">
        <is>
          <t>T056</t>
        </is>
      </c>
      <c r="B57" s="6" t="n">
        <v>46237</v>
      </c>
      <c r="C57" t="inlineStr">
        <is>
          <t>IT</t>
        </is>
      </c>
      <c r="D57" t="inlineStr">
        <is>
          <t>Software Issue</t>
        </is>
      </c>
      <c r="E57" t="inlineStr">
        <is>
          <t>Medium</t>
        </is>
      </c>
      <c r="F57" t="inlineStr">
        <is>
          <t>In Progress</t>
        </is>
      </c>
      <c r="G57" t="inlineStr">
        <is>
          <t>IT Support</t>
        </is>
      </c>
      <c r="H57" t="n">
        <v>3</v>
      </c>
      <c r="I57" t="n">
        <v>16</v>
      </c>
      <c r="J57">
        <f>IF(H57&lt;=I57,"Within SLA","SLA Breached")</f>
        <v/>
      </c>
    </row>
    <row r="58">
      <c r="A58" t="inlineStr">
        <is>
          <t>T057</t>
        </is>
      </c>
      <c r="B58" s="6" t="n">
        <v>46263</v>
      </c>
      <c r="C58" t="inlineStr">
        <is>
          <t>IT</t>
        </is>
      </c>
      <c r="D58" t="inlineStr">
        <is>
          <t>Network Issue</t>
        </is>
      </c>
      <c r="E58" t="inlineStr">
        <is>
          <t>High</t>
        </is>
      </c>
      <c r="F58" t="inlineStr">
        <is>
          <t>In Progress</t>
        </is>
      </c>
      <c r="G58" t="inlineStr">
        <is>
          <t>Network</t>
        </is>
      </c>
      <c r="H58" t="n">
        <v>2</v>
      </c>
      <c r="I58" t="n">
        <v>8</v>
      </c>
      <c r="J58">
        <f>IF(H58&lt;=I58,"Within SLA","SLA Breached")</f>
        <v/>
      </c>
    </row>
    <row r="59">
      <c r="A59" t="inlineStr">
        <is>
          <t>T058</t>
        </is>
      </c>
      <c r="B59" s="6" t="n">
        <v>46257</v>
      </c>
      <c r="C59" t="inlineStr">
        <is>
          <t>Security</t>
        </is>
      </c>
      <c r="D59" t="inlineStr">
        <is>
          <t>Malware Alert</t>
        </is>
      </c>
      <c r="E59" t="inlineStr">
        <is>
          <t>High</t>
        </is>
      </c>
      <c r="F59" t="inlineStr">
        <is>
          <t>Resolved</t>
        </is>
      </c>
      <c r="G59" t="inlineStr">
        <is>
          <t>SOC</t>
        </is>
      </c>
      <c r="H59" t="n">
        <v>18</v>
      </c>
      <c r="I59" t="n">
        <v>8</v>
      </c>
      <c r="J59">
        <f>IF(H59&lt;=I59,"Within SLA","SLA Breached")</f>
        <v/>
      </c>
    </row>
    <row r="60">
      <c r="A60" t="inlineStr">
        <is>
          <t>T059</t>
        </is>
      </c>
      <c r="B60" s="6" t="n">
        <v>46235</v>
      </c>
      <c r="C60" t="inlineStr">
        <is>
          <t>IT</t>
        </is>
      </c>
      <c r="D60" t="inlineStr">
        <is>
          <t>Connectivity Issue</t>
        </is>
      </c>
      <c r="E60" t="inlineStr">
        <is>
          <t>Low</t>
        </is>
      </c>
      <c r="F60" t="inlineStr">
        <is>
          <t>Open</t>
        </is>
      </c>
      <c r="G60" t="inlineStr">
        <is>
          <t>Network</t>
        </is>
      </c>
      <c r="H60" t="n">
        <v>16</v>
      </c>
      <c r="I60" t="n">
        <v>24</v>
      </c>
      <c r="J60">
        <f>IF(H60&lt;=I60,"Within SLA","SLA Breached")</f>
        <v/>
      </c>
    </row>
    <row r="61">
      <c r="A61" t="inlineStr">
        <is>
          <t>T060</t>
        </is>
      </c>
      <c r="B61" s="6" t="n">
        <v>46243</v>
      </c>
      <c r="C61" t="inlineStr">
        <is>
          <t>IT</t>
        </is>
      </c>
      <c r="D61" t="inlineStr">
        <is>
          <t>Network Issue</t>
        </is>
      </c>
      <c r="E61" t="inlineStr">
        <is>
          <t>High</t>
        </is>
      </c>
      <c r="F61" t="inlineStr">
        <is>
          <t>Open</t>
        </is>
      </c>
      <c r="G61" t="inlineStr">
        <is>
          <t>Network</t>
        </is>
      </c>
      <c r="H61" t="n">
        <v>4</v>
      </c>
      <c r="I61" t="n">
        <v>8</v>
      </c>
      <c r="J61">
        <f>IF(H61&lt;=I61,"Within SLA","SLA Breached")</f>
        <v/>
      </c>
    </row>
    <row r="62">
      <c r="A62" t="inlineStr">
        <is>
          <t>T061</t>
        </is>
      </c>
      <c r="B62" s="6" t="n">
        <v>46254</v>
      </c>
      <c r="C62" t="inlineStr">
        <is>
          <t>IT</t>
        </is>
      </c>
      <c r="D62" t="inlineStr">
        <is>
          <t>Software Issue</t>
        </is>
      </c>
      <c r="E62" t="inlineStr">
        <is>
          <t>Medium</t>
        </is>
      </c>
      <c r="F62" t="inlineStr">
        <is>
          <t>Resolved</t>
        </is>
      </c>
      <c r="G62" t="inlineStr">
        <is>
          <t>IT Support</t>
        </is>
      </c>
      <c r="H62" t="n">
        <v>10</v>
      </c>
      <c r="I62" t="n">
        <v>16</v>
      </c>
      <c r="J62">
        <f>IF(H62&lt;=I62,"Within SLA","SLA Breached")</f>
        <v/>
      </c>
    </row>
    <row r="63">
      <c r="A63" t="inlineStr">
        <is>
          <t>T062</t>
        </is>
      </c>
      <c r="B63" s="6" t="n">
        <v>46251</v>
      </c>
      <c r="C63" t="inlineStr">
        <is>
          <t>IT</t>
        </is>
      </c>
      <c r="D63" t="inlineStr">
        <is>
          <t>VPN Issue</t>
        </is>
      </c>
      <c r="E63" t="inlineStr">
        <is>
          <t>High</t>
        </is>
      </c>
      <c r="F63" t="inlineStr">
        <is>
          <t>Open</t>
        </is>
      </c>
      <c r="G63" t="inlineStr">
        <is>
          <t>Network</t>
        </is>
      </c>
      <c r="H63" t="n">
        <v>8</v>
      </c>
      <c r="I63" t="n">
        <v>8</v>
      </c>
      <c r="J63">
        <f>IF(H63&lt;=I63,"Within SLA","SLA Breached")</f>
        <v/>
      </c>
    </row>
    <row r="64">
      <c r="A64" t="inlineStr">
        <is>
          <t>T063</t>
        </is>
      </c>
      <c r="B64" s="6" t="n">
        <v>46255</v>
      </c>
      <c r="C64" t="inlineStr">
        <is>
          <t>Security</t>
        </is>
      </c>
      <c r="D64" t="inlineStr">
        <is>
          <t>Unauthorized Access</t>
        </is>
      </c>
      <c r="E64" t="inlineStr">
        <is>
          <t>Low</t>
        </is>
      </c>
      <c r="F64" t="inlineStr">
        <is>
          <t>Open</t>
        </is>
      </c>
      <c r="G64" t="inlineStr">
        <is>
          <t>SOC</t>
        </is>
      </c>
      <c r="H64" t="n">
        <v>2</v>
      </c>
      <c r="I64" t="n">
        <v>24</v>
      </c>
      <c r="J64">
        <f>IF(H64&lt;=I64,"Within SLA","SLA Breached")</f>
        <v/>
      </c>
    </row>
    <row r="65">
      <c r="A65" t="inlineStr">
        <is>
          <t>T064</t>
        </is>
      </c>
      <c r="B65" s="6" t="n">
        <v>46255</v>
      </c>
      <c r="C65" t="inlineStr">
        <is>
          <t>Security</t>
        </is>
      </c>
      <c r="D65" t="inlineStr">
        <is>
          <t>Malware Alert</t>
        </is>
      </c>
      <c r="E65" t="inlineStr">
        <is>
          <t>Critical</t>
        </is>
      </c>
      <c r="F65" t="inlineStr">
        <is>
          <t>Resolved</t>
        </is>
      </c>
      <c r="G65" t="inlineStr">
        <is>
          <t>SOC</t>
        </is>
      </c>
      <c r="H65" t="n">
        <v>5</v>
      </c>
      <c r="I65" t="n">
        <v>4</v>
      </c>
      <c r="J65">
        <f>IF(H65&lt;=I65,"Within SLA","SLA Breached")</f>
        <v/>
      </c>
    </row>
    <row r="66">
      <c r="A66" t="inlineStr">
        <is>
          <t>T065</t>
        </is>
      </c>
      <c r="B66" s="6" t="n">
        <v>46252</v>
      </c>
      <c r="C66" t="inlineStr">
        <is>
          <t>IT</t>
        </is>
      </c>
      <c r="D66" t="inlineStr">
        <is>
          <t>Login Issue</t>
        </is>
      </c>
      <c r="E66" t="inlineStr">
        <is>
          <t>Medium</t>
        </is>
      </c>
      <c r="F66" t="inlineStr">
        <is>
          <t>Resolved</t>
        </is>
      </c>
      <c r="G66" t="inlineStr">
        <is>
          <t>IT Support</t>
        </is>
      </c>
      <c r="H66" t="n">
        <v>14</v>
      </c>
      <c r="I66" t="n">
        <v>16</v>
      </c>
      <c r="J66">
        <f>IF(H66&lt;=I66,"Within SLA","SLA Breached")</f>
        <v/>
      </c>
    </row>
    <row r="67">
      <c r="A67" t="inlineStr">
        <is>
          <t>T066</t>
        </is>
      </c>
      <c r="B67" s="6" t="n">
        <v>46252</v>
      </c>
      <c r="C67" t="inlineStr">
        <is>
          <t>IT</t>
        </is>
      </c>
      <c r="D67" t="inlineStr">
        <is>
          <t>Login Issue</t>
        </is>
      </c>
      <c r="E67" t="inlineStr">
        <is>
          <t>Critical</t>
        </is>
      </c>
      <c r="F67" t="inlineStr">
        <is>
          <t>In Progress</t>
        </is>
      </c>
      <c r="G67" t="inlineStr">
        <is>
          <t>IT Support</t>
        </is>
      </c>
      <c r="H67" t="n">
        <v>4</v>
      </c>
      <c r="I67" t="n">
        <v>4</v>
      </c>
      <c r="J67">
        <f>IF(H67&lt;=I67,"Within SLA","SLA Breached")</f>
        <v/>
      </c>
    </row>
    <row r="68">
      <c r="A68" t="inlineStr">
        <is>
          <t>T067</t>
        </is>
      </c>
      <c r="B68" s="6" t="n">
        <v>46236</v>
      </c>
      <c r="C68" t="inlineStr">
        <is>
          <t>Security</t>
        </is>
      </c>
      <c r="D68" t="inlineStr">
        <is>
          <t>Malware Alert</t>
        </is>
      </c>
      <c r="E68" t="inlineStr">
        <is>
          <t>Medium</t>
        </is>
      </c>
      <c r="F68" t="inlineStr">
        <is>
          <t>Resolved</t>
        </is>
      </c>
      <c r="G68" t="inlineStr">
        <is>
          <t>SOC</t>
        </is>
      </c>
      <c r="H68" t="n">
        <v>5</v>
      </c>
      <c r="I68" t="n">
        <v>16</v>
      </c>
      <c r="J68">
        <f>IF(H68&lt;=I68,"Within SLA","SLA Breached")</f>
        <v/>
      </c>
    </row>
    <row r="69">
      <c r="A69" t="inlineStr">
        <is>
          <t>T068</t>
        </is>
      </c>
      <c r="B69" s="6" t="n">
        <v>46263</v>
      </c>
      <c r="C69" t="inlineStr">
        <is>
          <t>Security</t>
        </is>
      </c>
      <c r="D69" t="inlineStr">
        <is>
          <t>Malware Alert</t>
        </is>
      </c>
      <c r="E69" t="inlineStr">
        <is>
          <t>Low</t>
        </is>
      </c>
      <c r="F69" t="inlineStr">
        <is>
          <t>Open</t>
        </is>
      </c>
      <c r="G69" t="inlineStr">
        <is>
          <t>SOC</t>
        </is>
      </c>
      <c r="H69" t="n">
        <v>1</v>
      </c>
      <c r="I69" t="n">
        <v>24</v>
      </c>
      <c r="J69">
        <f>IF(H69&lt;=I69,"Within SLA","SLA Breached")</f>
        <v/>
      </c>
    </row>
    <row r="70">
      <c r="A70" t="inlineStr">
        <is>
          <t>T069</t>
        </is>
      </c>
      <c r="B70" s="6" t="n">
        <v>46259</v>
      </c>
      <c r="C70" t="inlineStr">
        <is>
          <t>IT</t>
        </is>
      </c>
      <c r="D70" t="inlineStr">
        <is>
          <t>Password Reset</t>
        </is>
      </c>
      <c r="E70" t="inlineStr">
        <is>
          <t>Medium</t>
        </is>
      </c>
      <c r="F70" t="inlineStr">
        <is>
          <t>Open</t>
        </is>
      </c>
      <c r="G70" t="inlineStr">
        <is>
          <t>IT Support</t>
        </is>
      </c>
      <c r="H70" t="n">
        <v>11</v>
      </c>
      <c r="I70" t="n">
        <v>16</v>
      </c>
      <c r="J70">
        <f>IF(H70&lt;=I70,"Within SLA","SLA Breached")</f>
        <v/>
      </c>
    </row>
    <row r="71">
      <c r="A71" t="inlineStr">
        <is>
          <t>T070</t>
        </is>
      </c>
      <c r="B71" s="6" t="n">
        <v>46262</v>
      </c>
      <c r="C71" t="inlineStr">
        <is>
          <t>IT</t>
        </is>
      </c>
      <c r="D71" t="inlineStr">
        <is>
          <t>Network Issue</t>
        </is>
      </c>
      <c r="E71" t="inlineStr">
        <is>
          <t>Medium</t>
        </is>
      </c>
      <c r="F71" t="inlineStr">
        <is>
          <t>In Progress</t>
        </is>
      </c>
      <c r="G71" t="inlineStr">
        <is>
          <t>Network</t>
        </is>
      </c>
      <c r="H71" t="n">
        <v>7</v>
      </c>
      <c r="I71" t="n">
        <v>16</v>
      </c>
      <c r="J71">
        <f>IF(H71&lt;=I71,"Within SLA","SLA Breached")</f>
        <v/>
      </c>
    </row>
    <row r="72">
      <c r="A72" t="inlineStr">
        <is>
          <t>T071</t>
        </is>
      </c>
      <c r="B72" s="6" t="n">
        <v>46264</v>
      </c>
      <c r="C72" t="inlineStr">
        <is>
          <t>IT</t>
        </is>
      </c>
      <c r="D72" t="inlineStr">
        <is>
          <t>Access Request</t>
        </is>
      </c>
      <c r="E72" t="inlineStr">
        <is>
          <t>Low</t>
        </is>
      </c>
      <c r="F72" t="inlineStr">
        <is>
          <t>Resolved</t>
        </is>
      </c>
      <c r="G72" t="inlineStr">
        <is>
          <t>IT Support</t>
        </is>
      </c>
      <c r="H72" t="n">
        <v>24</v>
      </c>
      <c r="I72" t="n">
        <v>24</v>
      </c>
      <c r="J72">
        <f>IF(H72&lt;=I72,"Within SLA","SLA Breached")</f>
        <v/>
      </c>
    </row>
    <row r="73">
      <c r="A73" t="inlineStr">
        <is>
          <t>T072</t>
        </is>
      </c>
      <c r="B73" s="6" t="n">
        <v>46243</v>
      </c>
      <c r="C73" t="inlineStr">
        <is>
          <t>Security</t>
        </is>
      </c>
      <c r="D73" t="inlineStr">
        <is>
          <t>Suspicious Login</t>
        </is>
      </c>
      <c r="E73" t="inlineStr">
        <is>
          <t>Low</t>
        </is>
      </c>
      <c r="F73" t="inlineStr">
        <is>
          <t>In Progress</t>
        </is>
      </c>
      <c r="G73" t="inlineStr">
        <is>
          <t>SOC</t>
        </is>
      </c>
      <c r="H73" t="n">
        <v>7</v>
      </c>
      <c r="I73" t="n">
        <v>24</v>
      </c>
      <c r="J73">
        <f>IF(H73&lt;=I73,"Within SLA","SLA Breached")</f>
        <v/>
      </c>
    </row>
    <row r="74">
      <c r="A74" t="inlineStr">
        <is>
          <t>T073</t>
        </is>
      </c>
      <c r="B74" s="6" t="n">
        <v>46242</v>
      </c>
      <c r="C74" t="inlineStr">
        <is>
          <t>IT</t>
        </is>
      </c>
      <c r="D74" t="inlineStr">
        <is>
          <t>Network Issue</t>
        </is>
      </c>
      <c r="E74" t="inlineStr">
        <is>
          <t>High</t>
        </is>
      </c>
      <c r="F74" t="inlineStr">
        <is>
          <t>In Progress</t>
        </is>
      </c>
      <c r="G74" t="inlineStr">
        <is>
          <t>Network</t>
        </is>
      </c>
      <c r="H74" t="n">
        <v>15</v>
      </c>
      <c r="I74" t="n">
        <v>8</v>
      </c>
      <c r="J74">
        <f>IF(H74&lt;=I74,"Within SLA","SLA Breached")</f>
        <v/>
      </c>
    </row>
    <row r="75">
      <c r="A75" t="inlineStr">
        <is>
          <t>T074</t>
        </is>
      </c>
      <c r="B75" s="6" t="n">
        <v>46242</v>
      </c>
      <c r="C75" t="inlineStr">
        <is>
          <t>Security</t>
        </is>
      </c>
      <c r="D75" t="inlineStr">
        <is>
          <t>Phishing Alert</t>
        </is>
      </c>
      <c r="E75" t="inlineStr">
        <is>
          <t>High</t>
        </is>
      </c>
      <c r="F75" t="inlineStr">
        <is>
          <t>Open</t>
        </is>
      </c>
      <c r="G75" t="inlineStr">
        <is>
          <t>SOC</t>
        </is>
      </c>
      <c r="H75" t="n">
        <v>7</v>
      </c>
      <c r="I75" t="n">
        <v>8</v>
      </c>
      <c r="J75">
        <f>IF(H75&lt;=I75,"Within SLA","SLA Breached")</f>
        <v/>
      </c>
    </row>
    <row r="76">
      <c r="A76" t="inlineStr">
        <is>
          <t>T075</t>
        </is>
      </c>
      <c r="B76" s="6" t="n">
        <v>46237</v>
      </c>
      <c r="C76" t="inlineStr">
        <is>
          <t>IT</t>
        </is>
      </c>
      <c r="D76" t="inlineStr">
        <is>
          <t>VPN Issue</t>
        </is>
      </c>
      <c r="E76" t="inlineStr">
        <is>
          <t>High</t>
        </is>
      </c>
      <c r="F76" t="inlineStr">
        <is>
          <t>Resolved</t>
        </is>
      </c>
      <c r="G76" t="inlineStr">
        <is>
          <t>Network</t>
        </is>
      </c>
      <c r="H76" t="n">
        <v>28</v>
      </c>
      <c r="I76" t="n">
        <v>8</v>
      </c>
      <c r="J76">
        <f>IF(H76&lt;=I76,"Within SLA","SLA Breached")</f>
        <v/>
      </c>
    </row>
    <row r="77">
      <c r="A77" t="inlineStr">
        <is>
          <t>T076</t>
        </is>
      </c>
      <c r="B77" s="6" t="n">
        <v>46252</v>
      </c>
      <c r="C77" t="inlineStr">
        <is>
          <t>Security</t>
        </is>
      </c>
      <c r="D77" t="inlineStr">
        <is>
          <t>Malware Alert</t>
        </is>
      </c>
      <c r="E77" t="inlineStr">
        <is>
          <t>Medium</t>
        </is>
      </c>
      <c r="F77" t="inlineStr">
        <is>
          <t>Resolved</t>
        </is>
      </c>
      <c r="G77" t="inlineStr">
        <is>
          <t>SOC</t>
        </is>
      </c>
      <c r="H77" t="n">
        <v>27</v>
      </c>
      <c r="I77" t="n">
        <v>16</v>
      </c>
      <c r="J77">
        <f>IF(H77&lt;=I77,"Within SLA","SLA Breached")</f>
        <v/>
      </c>
    </row>
    <row r="78">
      <c r="A78" t="inlineStr">
        <is>
          <t>T077</t>
        </is>
      </c>
      <c r="B78" s="6" t="n">
        <v>46253</v>
      </c>
      <c r="C78" t="inlineStr">
        <is>
          <t>IT</t>
        </is>
      </c>
      <c r="D78" t="inlineStr">
        <is>
          <t>Access Request</t>
        </is>
      </c>
      <c r="E78" t="inlineStr">
        <is>
          <t>High</t>
        </is>
      </c>
      <c r="F78" t="inlineStr">
        <is>
          <t>In Progress</t>
        </is>
      </c>
      <c r="G78" t="inlineStr">
        <is>
          <t>IT Support</t>
        </is>
      </c>
      <c r="H78" t="n">
        <v>5</v>
      </c>
      <c r="I78" t="n">
        <v>8</v>
      </c>
      <c r="J78">
        <f>IF(H78&lt;=I78,"Within SLA","SLA Breached")</f>
        <v/>
      </c>
    </row>
    <row r="79">
      <c r="A79" t="inlineStr">
        <is>
          <t>T078</t>
        </is>
      </c>
      <c r="B79" s="6" t="n">
        <v>46260</v>
      </c>
      <c r="C79" t="inlineStr">
        <is>
          <t>IT</t>
        </is>
      </c>
      <c r="D79" t="inlineStr">
        <is>
          <t>Access Request</t>
        </is>
      </c>
      <c r="E79" t="inlineStr">
        <is>
          <t>High</t>
        </is>
      </c>
      <c r="F79" t="inlineStr">
        <is>
          <t>Resolved</t>
        </is>
      </c>
      <c r="G79" t="inlineStr">
        <is>
          <t>IT Support</t>
        </is>
      </c>
      <c r="H79" t="n">
        <v>24</v>
      </c>
      <c r="I79" t="n">
        <v>8</v>
      </c>
      <c r="J79">
        <f>IF(H79&lt;=I79,"Within SLA","SLA Breached")</f>
        <v/>
      </c>
    </row>
    <row r="80">
      <c r="A80" t="inlineStr">
        <is>
          <t>T079</t>
        </is>
      </c>
      <c r="B80" s="6" t="n">
        <v>46263</v>
      </c>
      <c r="C80" t="inlineStr">
        <is>
          <t>Security</t>
        </is>
      </c>
      <c r="D80" t="inlineStr">
        <is>
          <t>Suspicious Login</t>
        </is>
      </c>
      <c r="E80" t="inlineStr">
        <is>
          <t>Medium</t>
        </is>
      </c>
      <c r="F80" t="inlineStr">
        <is>
          <t>Resolved</t>
        </is>
      </c>
      <c r="G80" t="inlineStr">
        <is>
          <t>SOC</t>
        </is>
      </c>
      <c r="H80" t="n">
        <v>13</v>
      </c>
      <c r="I80" t="n">
        <v>16</v>
      </c>
      <c r="J80">
        <f>IF(H80&lt;=I80,"Within SLA","SLA Breached")</f>
        <v/>
      </c>
    </row>
    <row r="81">
      <c r="A81" t="inlineStr">
        <is>
          <t>T080</t>
        </is>
      </c>
      <c r="B81" s="6" t="n">
        <v>46264</v>
      </c>
      <c r="C81" t="inlineStr">
        <is>
          <t>Security</t>
        </is>
      </c>
      <c r="D81" t="inlineStr">
        <is>
          <t>Suspicious Login</t>
        </is>
      </c>
      <c r="E81" t="inlineStr">
        <is>
          <t>Critical</t>
        </is>
      </c>
      <c r="F81" t="inlineStr">
        <is>
          <t>Resolved</t>
        </is>
      </c>
      <c r="G81" t="inlineStr">
        <is>
          <t>SOC</t>
        </is>
      </c>
      <c r="H81" t="n">
        <v>17</v>
      </c>
      <c r="I81" t="n">
        <v>4</v>
      </c>
      <c r="J81">
        <f>IF(H81&lt;=I81,"Within SLA","SLA Breached")</f>
        <v/>
      </c>
    </row>
    <row r="82">
      <c r="A82" t="inlineStr">
        <is>
          <t>T081</t>
        </is>
      </c>
      <c r="B82" s="6" t="n">
        <v>46254</v>
      </c>
      <c r="C82" t="inlineStr">
        <is>
          <t>Security</t>
        </is>
      </c>
      <c r="D82" t="inlineStr">
        <is>
          <t>Malware Alert</t>
        </is>
      </c>
      <c r="E82" t="inlineStr">
        <is>
          <t>Medium</t>
        </is>
      </c>
      <c r="F82" t="inlineStr">
        <is>
          <t>In Progress</t>
        </is>
      </c>
      <c r="G82" t="inlineStr">
        <is>
          <t>SOC</t>
        </is>
      </c>
      <c r="H82" t="n">
        <v>10</v>
      </c>
      <c r="I82" t="n">
        <v>16</v>
      </c>
      <c r="J82">
        <f>IF(H82&lt;=I82,"Within SLA","SLA Breached")</f>
        <v/>
      </c>
    </row>
    <row r="83">
      <c r="A83" t="inlineStr">
        <is>
          <t>T082</t>
        </is>
      </c>
      <c r="B83" s="6" t="n">
        <v>46251</v>
      </c>
      <c r="C83" t="inlineStr">
        <is>
          <t>IT</t>
        </is>
      </c>
      <c r="D83" t="inlineStr">
        <is>
          <t>VPN Issue</t>
        </is>
      </c>
      <c r="E83" t="inlineStr">
        <is>
          <t>Low</t>
        </is>
      </c>
      <c r="F83" t="inlineStr">
        <is>
          <t>Open</t>
        </is>
      </c>
      <c r="G83" t="inlineStr">
        <is>
          <t>Network</t>
        </is>
      </c>
      <c r="H83" t="n">
        <v>9</v>
      </c>
      <c r="I83" t="n">
        <v>24</v>
      </c>
      <c r="J83">
        <f>IF(H83&lt;=I83,"Within SLA","SLA Breached")</f>
        <v/>
      </c>
    </row>
    <row r="84">
      <c r="A84" t="inlineStr">
        <is>
          <t>T083</t>
        </is>
      </c>
      <c r="B84" s="6" t="n">
        <v>46252</v>
      </c>
      <c r="C84" t="inlineStr">
        <is>
          <t>IT</t>
        </is>
      </c>
      <c r="D84" t="inlineStr">
        <is>
          <t>Network Issue</t>
        </is>
      </c>
      <c r="E84" t="inlineStr">
        <is>
          <t>Medium</t>
        </is>
      </c>
      <c r="F84" t="inlineStr">
        <is>
          <t>Resolved</t>
        </is>
      </c>
      <c r="G84" t="inlineStr">
        <is>
          <t>Network</t>
        </is>
      </c>
      <c r="H84" t="n">
        <v>10</v>
      </c>
      <c r="I84" t="n">
        <v>16</v>
      </c>
      <c r="J84">
        <f>IF(H84&lt;=I84,"Within SLA","SLA Breached")</f>
        <v/>
      </c>
    </row>
    <row r="85">
      <c r="A85" t="inlineStr">
        <is>
          <t>T084</t>
        </is>
      </c>
      <c r="B85" s="6" t="n">
        <v>46254</v>
      </c>
      <c r="C85" t="inlineStr">
        <is>
          <t>IT</t>
        </is>
      </c>
      <c r="D85" t="inlineStr">
        <is>
          <t>Access Request</t>
        </is>
      </c>
      <c r="E85" t="inlineStr">
        <is>
          <t>Medium</t>
        </is>
      </c>
      <c r="F85" t="inlineStr">
        <is>
          <t>In Progress</t>
        </is>
      </c>
      <c r="G85" t="inlineStr">
        <is>
          <t>IT Support</t>
        </is>
      </c>
      <c r="H85" t="n">
        <v>5</v>
      </c>
      <c r="I85" t="n">
        <v>16</v>
      </c>
      <c r="J85">
        <f>IF(H85&lt;=I85,"Within SLA","SLA Breached")</f>
        <v/>
      </c>
    </row>
    <row r="86">
      <c r="A86" t="inlineStr">
        <is>
          <t>T085</t>
        </is>
      </c>
      <c r="B86" s="6" t="n">
        <v>46241</v>
      </c>
      <c r="C86" t="inlineStr">
        <is>
          <t>Security</t>
        </is>
      </c>
      <c r="D86" t="inlineStr">
        <is>
          <t>Unauthorized Access</t>
        </is>
      </c>
      <c r="E86" t="inlineStr">
        <is>
          <t>Medium</t>
        </is>
      </c>
      <c r="F86" t="inlineStr">
        <is>
          <t>Resolved</t>
        </is>
      </c>
      <c r="G86" t="inlineStr">
        <is>
          <t>SOC</t>
        </is>
      </c>
      <c r="H86" t="n">
        <v>10</v>
      </c>
      <c r="I86" t="n">
        <v>16</v>
      </c>
      <c r="J86">
        <f>IF(H86&lt;=I86,"Within SLA","SLA Breached")</f>
        <v/>
      </c>
    </row>
    <row r="87">
      <c r="A87" t="inlineStr">
        <is>
          <t>T086</t>
        </is>
      </c>
      <c r="B87" s="6" t="n">
        <v>46249</v>
      </c>
      <c r="C87" t="inlineStr">
        <is>
          <t>IT</t>
        </is>
      </c>
      <c r="D87" t="inlineStr">
        <is>
          <t>Connectivity Issue</t>
        </is>
      </c>
      <c r="E87" t="inlineStr">
        <is>
          <t>Medium</t>
        </is>
      </c>
      <c r="F87" t="inlineStr">
        <is>
          <t>Resolved</t>
        </is>
      </c>
      <c r="G87" t="inlineStr">
        <is>
          <t>Network</t>
        </is>
      </c>
      <c r="H87" t="n">
        <v>15</v>
      </c>
      <c r="I87" t="n">
        <v>16</v>
      </c>
      <c r="J87">
        <f>IF(H87&lt;=I87,"Within SLA","SLA Breached")</f>
        <v/>
      </c>
    </row>
    <row r="88">
      <c r="A88" t="inlineStr">
        <is>
          <t>T087</t>
        </is>
      </c>
      <c r="B88" s="6" t="n">
        <v>46256</v>
      </c>
      <c r="C88" t="inlineStr">
        <is>
          <t>IT</t>
        </is>
      </c>
      <c r="D88" t="inlineStr">
        <is>
          <t>Login Issue</t>
        </is>
      </c>
      <c r="E88" t="inlineStr">
        <is>
          <t>Medium</t>
        </is>
      </c>
      <c r="F88" t="inlineStr">
        <is>
          <t>Open</t>
        </is>
      </c>
      <c r="G88" t="inlineStr">
        <is>
          <t>IT Support</t>
        </is>
      </c>
      <c r="H88" t="n">
        <v>5</v>
      </c>
      <c r="I88" t="n">
        <v>16</v>
      </c>
      <c r="J88">
        <f>IF(H88&lt;=I88,"Within SLA","SLA Breached")</f>
        <v/>
      </c>
    </row>
    <row r="89">
      <c r="A89" t="inlineStr">
        <is>
          <t>T088</t>
        </is>
      </c>
      <c r="B89" s="6" t="n">
        <v>46237</v>
      </c>
      <c r="C89" t="inlineStr">
        <is>
          <t>Security</t>
        </is>
      </c>
      <c r="D89" t="inlineStr">
        <is>
          <t>Suspicious Login</t>
        </is>
      </c>
      <c r="E89" t="inlineStr">
        <is>
          <t>Medium</t>
        </is>
      </c>
      <c r="F89" t="inlineStr">
        <is>
          <t>Resolved</t>
        </is>
      </c>
      <c r="G89" t="inlineStr">
        <is>
          <t>SOC</t>
        </is>
      </c>
      <c r="H89" t="n">
        <v>11</v>
      </c>
      <c r="I89" t="n">
        <v>16</v>
      </c>
      <c r="J89">
        <f>IF(H89&lt;=I89,"Within SLA","SLA Breached")</f>
        <v/>
      </c>
    </row>
    <row r="90">
      <c r="A90" t="inlineStr">
        <is>
          <t>T089</t>
        </is>
      </c>
      <c r="B90" s="6" t="n">
        <v>46235</v>
      </c>
      <c r="C90" t="inlineStr">
        <is>
          <t>IT</t>
        </is>
      </c>
      <c r="D90" t="inlineStr">
        <is>
          <t>Network Issue</t>
        </is>
      </c>
      <c r="E90" t="inlineStr">
        <is>
          <t>High</t>
        </is>
      </c>
      <c r="F90" t="inlineStr">
        <is>
          <t>Open</t>
        </is>
      </c>
      <c r="G90" t="inlineStr">
        <is>
          <t>Network</t>
        </is>
      </c>
      <c r="H90" t="n">
        <v>4</v>
      </c>
      <c r="I90" t="n">
        <v>8</v>
      </c>
      <c r="J90">
        <f>IF(H90&lt;=I90,"Within SLA","SLA Breached")</f>
        <v/>
      </c>
    </row>
    <row r="91">
      <c r="A91" t="inlineStr">
        <is>
          <t>T090</t>
        </is>
      </c>
      <c r="B91" s="6" t="n">
        <v>46237</v>
      </c>
      <c r="C91" t="inlineStr">
        <is>
          <t>IT</t>
        </is>
      </c>
      <c r="D91" t="inlineStr">
        <is>
          <t>Password Reset</t>
        </is>
      </c>
      <c r="E91" t="inlineStr">
        <is>
          <t>Low</t>
        </is>
      </c>
      <c r="F91" t="inlineStr">
        <is>
          <t>Resolved</t>
        </is>
      </c>
      <c r="G91" t="inlineStr">
        <is>
          <t>IT Support</t>
        </is>
      </c>
      <c r="H91" t="n">
        <v>25</v>
      </c>
      <c r="I91" t="n">
        <v>24</v>
      </c>
      <c r="J91">
        <f>IF(H91&lt;=I91,"Within SLA","SLA Breached")</f>
        <v/>
      </c>
    </row>
    <row r="92">
      <c r="A92" t="inlineStr">
        <is>
          <t>T091</t>
        </is>
      </c>
      <c r="B92" s="6" t="n">
        <v>46257</v>
      </c>
      <c r="C92" t="inlineStr">
        <is>
          <t>Security</t>
        </is>
      </c>
      <c r="D92" t="inlineStr">
        <is>
          <t>Unauthorized Access</t>
        </is>
      </c>
      <c r="E92" t="inlineStr">
        <is>
          <t>Low</t>
        </is>
      </c>
      <c r="F92" t="inlineStr">
        <is>
          <t>Resolved</t>
        </is>
      </c>
      <c r="G92" t="inlineStr">
        <is>
          <t>SOC</t>
        </is>
      </c>
      <c r="H92" t="n">
        <v>23</v>
      </c>
      <c r="I92" t="n">
        <v>24</v>
      </c>
      <c r="J92">
        <f>IF(H92&lt;=I92,"Within SLA","SLA Breached")</f>
        <v/>
      </c>
    </row>
    <row r="93">
      <c r="A93" t="inlineStr">
        <is>
          <t>T092</t>
        </is>
      </c>
      <c r="B93" s="6" t="n">
        <v>46235</v>
      </c>
      <c r="C93" t="inlineStr">
        <is>
          <t>Security</t>
        </is>
      </c>
      <c r="D93" t="inlineStr">
        <is>
          <t>Phishing Alert</t>
        </is>
      </c>
      <c r="E93" t="inlineStr">
        <is>
          <t>High</t>
        </is>
      </c>
      <c r="F93" t="inlineStr">
        <is>
          <t>Resolved</t>
        </is>
      </c>
      <c r="G93" t="inlineStr">
        <is>
          <t>SOC</t>
        </is>
      </c>
      <c r="H93" t="n">
        <v>23</v>
      </c>
      <c r="I93" t="n">
        <v>8</v>
      </c>
      <c r="J93">
        <f>IF(H93&lt;=I93,"Within SLA","SLA Breached")</f>
        <v/>
      </c>
    </row>
    <row r="94">
      <c r="A94" t="inlineStr">
        <is>
          <t>T093</t>
        </is>
      </c>
      <c r="B94" s="6" t="n">
        <v>46249</v>
      </c>
      <c r="C94" t="inlineStr">
        <is>
          <t>Security</t>
        </is>
      </c>
      <c r="D94" t="inlineStr">
        <is>
          <t>Phishing Alert</t>
        </is>
      </c>
      <c r="E94" t="inlineStr">
        <is>
          <t>High</t>
        </is>
      </c>
      <c r="F94" t="inlineStr">
        <is>
          <t>Open</t>
        </is>
      </c>
      <c r="G94" t="inlineStr">
        <is>
          <t>SOC</t>
        </is>
      </c>
      <c r="H94" t="n">
        <v>16</v>
      </c>
      <c r="I94" t="n">
        <v>8</v>
      </c>
      <c r="J94">
        <f>IF(H94&lt;=I94,"Within SLA","SLA Breached")</f>
        <v/>
      </c>
    </row>
    <row r="95">
      <c r="A95" t="inlineStr">
        <is>
          <t>T094</t>
        </is>
      </c>
      <c r="B95" s="6" t="n">
        <v>46239</v>
      </c>
      <c r="C95" t="inlineStr">
        <is>
          <t>IT</t>
        </is>
      </c>
      <c r="D95" t="inlineStr">
        <is>
          <t>VPN Issue</t>
        </is>
      </c>
      <c r="E95" t="inlineStr">
        <is>
          <t>High</t>
        </is>
      </c>
      <c r="F95" t="inlineStr">
        <is>
          <t>Open</t>
        </is>
      </c>
      <c r="G95" t="inlineStr">
        <is>
          <t>Network</t>
        </is>
      </c>
      <c r="H95" t="n">
        <v>14</v>
      </c>
      <c r="I95" t="n">
        <v>8</v>
      </c>
      <c r="J95">
        <f>IF(H95&lt;=I95,"Within SLA","SLA Breached")</f>
        <v/>
      </c>
    </row>
    <row r="96">
      <c r="A96" t="inlineStr">
        <is>
          <t>T095</t>
        </is>
      </c>
      <c r="B96" s="6" t="n">
        <v>46265</v>
      </c>
      <c r="C96" t="inlineStr">
        <is>
          <t>IT</t>
        </is>
      </c>
      <c r="D96" t="inlineStr">
        <is>
          <t>VPN Issue</t>
        </is>
      </c>
      <c r="E96" t="inlineStr">
        <is>
          <t>Medium</t>
        </is>
      </c>
      <c r="F96" t="inlineStr">
        <is>
          <t>Resolved</t>
        </is>
      </c>
      <c r="G96" t="inlineStr">
        <is>
          <t>Network</t>
        </is>
      </c>
      <c r="H96" t="n">
        <v>11</v>
      </c>
      <c r="I96" t="n">
        <v>16</v>
      </c>
      <c r="J96">
        <f>IF(H96&lt;=I96,"Within SLA","SLA Breached")</f>
        <v/>
      </c>
    </row>
    <row r="97">
      <c r="A97" t="inlineStr">
        <is>
          <t>T096</t>
        </is>
      </c>
      <c r="B97" s="6" t="n">
        <v>46261</v>
      </c>
      <c r="C97" t="inlineStr">
        <is>
          <t>IT</t>
        </is>
      </c>
      <c r="D97" t="inlineStr">
        <is>
          <t>Connectivity Issue</t>
        </is>
      </c>
      <c r="E97" t="inlineStr">
        <is>
          <t>Low</t>
        </is>
      </c>
      <c r="F97" t="inlineStr">
        <is>
          <t>In Progress</t>
        </is>
      </c>
      <c r="G97" t="inlineStr">
        <is>
          <t>Network</t>
        </is>
      </c>
      <c r="H97" t="n">
        <v>13</v>
      </c>
      <c r="I97" t="n">
        <v>24</v>
      </c>
      <c r="J97">
        <f>IF(H97&lt;=I97,"Within SLA","SLA Breached")</f>
        <v/>
      </c>
    </row>
    <row r="98">
      <c r="A98" t="inlineStr">
        <is>
          <t>T097</t>
        </is>
      </c>
      <c r="B98" s="6" t="n">
        <v>46249</v>
      </c>
      <c r="C98" t="inlineStr">
        <is>
          <t>Security</t>
        </is>
      </c>
      <c r="D98" t="inlineStr">
        <is>
          <t>Malware Alert</t>
        </is>
      </c>
      <c r="E98" t="inlineStr">
        <is>
          <t>Low</t>
        </is>
      </c>
      <c r="F98" t="inlineStr">
        <is>
          <t>Open</t>
        </is>
      </c>
      <c r="G98" t="inlineStr">
        <is>
          <t>SOC</t>
        </is>
      </c>
      <c r="H98" t="n">
        <v>15</v>
      </c>
      <c r="I98" t="n">
        <v>24</v>
      </c>
      <c r="J98">
        <f>IF(H98&lt;=I98,"Within SLA","SLA Breached")</f>
        <v/>
      </c>
    </row>
    <row r="99">
      <c r="A99" t="inlineStr">
        <is>
          <t>T098</t>
        </is>
      </c>
      <c r="B99" s="6" t="n">
        <v>46251</v>
      </c>
      <c r="C99" t="inlineStr">
        <is>
          <t>IT</t>
        </is>
      </c>
      <c r="D99" t="inlineStr">
        <is>
          <t>Password Reset</t>
        </is>
      </c>
      <c r="E99" t="inlineStr">
        <is>
          <t>Low</t>
        </is>
      </c>
      <c r="F99" t="inlineStr">
        <is>
          <t>Resolved</t>
        </is>
      </c>
      <c r="G99" t="inlineStr">
        <is>
          <t>IT Support</t>
        </is>
      </c>
      <c r="H99" t="n">
        <v>25</v>
      </c>
      <c r="I99" t="n">
        <v>24</v>
      </c>
      <c r="J99">
        <f>IF(H99&lt;=I99,"Within SLA","SLA Breached")</f>
        <v/>
      </c>
    </row>
    <row r="100">
      <c r="A100" t="inlineStr">
        <is>
          <t>T099</t>
        </is>
      </c>
      <c r="B100" s="6" t="n">
        <v>46244</v>
      </c>
      <c r="C100" t="inlineStr">
        <is>
          <t>IT</t>
        </is>
      </c>
      <c r="D100" t="inlineStr">
        <is>
          <t>Network Issue</t>
        </is>
      </c>
      <c r="E100" t="inlineStr">
        <is>
          <t>High</t>
        </is>
      </c>
      <c r="F100" t="inlineStr">
        <is>
          <t>Resolved</t>
        </is>
      </c>
      <c r="G100" t="inlineStr">
        <is>
          <t>Network</t>
        </is>
      </c>
      <c r="H100" t="n">
        <v>23</v>
      </c>
      <c r="I100" t="n">
        <v>8</v>
      </c>
      <c r="J100">
        <f>IF(H100&lt;=I100,"Within SLA","SLA Breached")</f>
        <v/>
      </c>
    </row>
    <row r="101">
      <c r="A101" t="inlineStr">
        <is>
          <t>T100</t>
        </is>
      </c>
      <c r="B101" s="6" t="n">
        <v>46239</v>
      </c>
      <c r="C101" t="inlineStr">
        <is>
          <t>Security</t>
        </is>
      </c>
      <c r="D101" t="inlineStr">
        <is>
          <t>Suspicious Login</t>
        </is>
      </c>
      <c r="E101" t="inlineStr">
        <is>
          <t>High</t>
        </is>
      </c>
      <c r="F101" t="inlineStr">
        <is>
          <t>In Progress</t>
        </is>
      </c>
      <c r="G101" t="inlineStr">
        <is>
          <t>SOC</t>
        </is>
      </c>
      <c r="H101" t="n">
        <v>2</v>
      </c>
      <c r="I101" t="n">
        <v>8</v>
      </c>
      <c r="J101">
        <f>IF(H101&lt;=I101,"Within SLA","SLA Breached")</f>
        <v/>
      </c>
    </row>
  </sheetData>
  <autoFilter ref="A1:J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Department</t>
        </is>
      </c>
    </row>
    <row r="2">
      <c r="A2" t="inlineStr">
        <is>
          <t>IT Support</t>
        </is>
      </c>
      <c r="B2" t="inlineStr">
        <is>
          <t>IT</t>
        </is>
      </c>
    </row>
    <row r="3">
      <c r="A3" t="inlineStr">
        <is>
          <t>SOC</t>
        </is>
      </c>
      <c r="B3" t="inlineStr">
        <is>
          <t>Security</t>
        </is>
      </c>
    </row>
    <row r="4">
      <c r="A4" t="inlineStr">
        <is>
          <t>Network</t>
        </is>
      </c>
      <c r="B4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7" t="inlineStr">
        <is>
          <t>IT OPERATIONS &amp; SERVICE DESK ANALYTICS</t>
        </is>
      </c>
    </row>
    <row r="2">
      <c r="D2" s="8" t="inlineStr">
        <is>
          <t>Tickets by Team</t>
        </is>
      </c>
      <c r="G2" s="8" t="inlineStr">
        <is>
          <t>Tickets by Priority</t>
        </is>
      </c>
      <c r="J2" s="8" t="inlineStr">
        <is>
          <t>SLA Performance</t>
        </is>
      </c>
    </row>
    <row r="3">
      <c r="A3" s="8" t="inlineStr">
        <is>
          <t>Total Tickets</t>
        </is>
      </c>
      <c r="B3" s="8">
        <f>COUNTA('Ticket Data'!A2:A101)</f>
        <v/>
      </c>
      <c r="D3" t="inlineStr">
        <is>
          <t>IT Support</t>
        </is>
      </c>
      <c r="E3">
        <f>COUNTIF('Ticket Data'!G2:G101,D3)</f>
        <v/>
      </c>
      <c r="G3" t="inlineStr">
        <is>
          <t>Critical</t>
        </is>
      </c>
      <c r="H3">
        <f>COUNTIF('Ticket Data'!E2:E101,G3)</f>
        <v/>
      </c>
      <c r="J3" t="inlineStr">
        <is>
          <t>Within SLA</t>
        </is>
      </c>
      <c r="K3">
        <f>COUNTIF('Ticket Data'!J2:J101,J3)</f>
        <v/>
      </c>
    </row>
    <row r="4">
      <c r="A4" s="8" t="inlineStr">
        <is>
          <t>Open Tickets</t>
        </is>
      </c>
      <c r="B4" s="8">
        <f>COUNTIF('Ticket Data'!F2:F101,"Open")</f>
        <v/>
      </c>
      <c r="D4" t="inlineStr">
        <is>
          <t>SOC</t>
        </is>
      </c>
      <c r="E4">
        <f>COUNTIF('Ticket Data'!G2:G101,D4)</f>
        <v/>
      </c>
      <c r="G4" t="inlineStr">
        <is>
          <t>High</t>
        </is>
      </c>
      <c r="H4">
        <f>COUNTIF('Ticket Data'!E2:E101,G4)</f>
        <v/>
      </c>
      <c r="J4" t="inlineStr">
        <is>
          <t>SLA Breached</t>
        </is>
      </c>
      <c r="K4">
        <f>COUNTIF('Ticket Data'!J2:J101,J4)</f>
        <v/>
      </c>
    </row>
    <row r="5">
      <c r="A5" s="8" t="inlineStr">
        <is>
          <t>Resolved Tickets</t>
        </is>
      </c>
      <c r="B5" s="8">
        <f>COUNTIF('Ticket Data'!F2:F101,"Resolved")</f>
        <v/>
      </c>
      <c r="D5" t="inlineStr">
        <is>
          <t>Network</t>
        </is>
      </c>
      <c r="E5">
        <f>COUNTIF('Ticket Data'!G2:G101,D5)</f>
        <v/>
      </c>
      <c r="G5" t="inlineStr">
        <is>
          <t>Medium</t>
        </is>
      </c>
      <c r="H5">
        <f>COUNTIF('Ticket Data'!E2:E101,G5)</f>
        <v/>
      </c>
    </row>
    <row r="6">
      <c r="A6" s="8" t="inlineStr">
        <is>
          <t>SLA Breaches</t>
        </is>
      </c>
      <c r="B6" s="8">
        <f>COUNTIF('Ticket Data'!J2:J101,"SLA Breached")</f>
        <v/>
      </c>
      <c r="G6" t="inlineStr">
        <is>
          <t>Low</t>
        </is>
      </c>
      <c r="H6">
        <f>COUNTIF('Ticket Data'!E2:E101,G6)</f>
        <v/>
      </c>
    </row>
    <row r="7">
      <c r="A7" s="8" t="inlineStr">
        <is>
          <t>Critical Tickets</t>
        </is>
      </c>
      <c r="B7" s="8">
        <f>COUNTIF('Ticket Data'!E2:E101,"Critical")</f>
        <v/>
      </c>
    </row>
    <row r="8">
      <c r="A8" s="8" t="inlineStr">
        <is>
          <t>Average Resolution Hours</t>
        </is>
      </c>
      <c r="B8" s="8">
        <f>AVERAGEIF('Ticket Data'!F2:F101,"Resolved",'Ticket Data'!H2:H101)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2026-09-08T21:17:53Z</dcterms:created>
  <dcterms:modified xmlns:dcterms="http://purl.org/dc/terms/" xmlns:xsi="http://www.w3.org/2001/XMLSchema-instance" xsi:type="dcterms:W3CDTF">2026-09-08T21:17:53Z</dcterms:modified>
</cp:coreProperties>
</file>